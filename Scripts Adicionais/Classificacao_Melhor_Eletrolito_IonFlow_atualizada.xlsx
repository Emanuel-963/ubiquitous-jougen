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f4c4d6a4e668a2b8/Área de Trabalho/ArtigoBianca/"/>
    </mc:Choice>
  </mc:AlternateContent>
  <xr:revisionPtr revIDLastSave="115" documentId="11_D37D0D5E55A8ABC751E8F81BCD07F172E12D9284" xr6:coauthVersionLast="47" xr6:coauthVersionMax="47" xr10:uidLastSave="{DD627637-6331-4CCE-A75B-5022DF97EA25}"/>
  <bookViews>
    <workbookView xWindow="-120" yWindow="-120" windowWidth="20730" windowHeight="11160" xr2:uid="{00000000-000D-0000-FFFF-FFFF00000000}"/>
  </bookViews>
  <sheets>
    <sheet name="Configuração" sheetId="1" r:id="rId1"/>
    <sheet name="Classificação" sheetId="2" r:id="rId2"/>
    <sheet name="Instruçõ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11" i="1"/>
  <c r="E10" i="1"/>
  <c r="E9" i="1"/>
  <c r="E8" i="1"/>
  <c r="E7" i="1"/>
  <c r="E6" i="1"/>
  <c r="E5" i="1"/>
  <c r="E4" i="1"/>
  <c r="K16" i="2" l="1"/>
  <c r="K15" i="2"/>
  <c r="K10" i="2"/>
  <c r="K14" i="2"/>
  <c r="K12" i="2"/>
  <c r="K17" i="2"/>
  <c r="K13" i="2"/>
  <c r="K11" i="2"/>
  <c r="K9" i="2"/>
  <c r="E4" i="2" l="1"/>
  <c r="N9" i="2"/>
  <c r="C4" i="2"/>
  <c r="A4" i="2"/>
  <c r="N15" i="2"/>
  <c r="N13" i="2"/>
  <c r="N12" i="2"/>
  <c r="N17" i="2"/>
  <c r="N11" i="2"/>
  <c r="N10" i="2"/>
  <c r="N16" i="2"/>
  <c r="N14" i="2"/>
</calcChain>
</file>

<file path=xl/sharedStrings.xml><?xml version="1.0" encoding="utf-8"?>
<sst xmlns="http://schemas.openxmlformats.org/spreadsheetml/2006/main" count="94" uniqueCount="75">
  <si>
    <t>Configuração dos critérios de classificação</t>
  </si>
  <si>
    <t>Critério</t>
  </si>
  <si>
    <t>Unidade</t>
  </si>
  <si>
    <t>Direção</t>
  </si>
  <si>
    <t>Peso</t>
  </si>
  <si>
    <t>Peso normalizado</t>
  </si>
  <si>
    <t>Observação</t>
  </si>
  <si>
    <t>Capacitância específica</t>
  </si>
  <si>
    <t>F/g</t>
  </si>
  <si>
    <t>Maior é melhor</t>
  </si>
  <si>
    <t>Desempenho de armazenamento de carga</t>
  </si>
  <si>
    <t>Retenção de capacitância</t>
  </si>
  <si>
    <t>%</t>
  </si>
  <si>
    <t>Estabilidade ao longo da ciclagem</t>
  </si>
  <si>
    <t>Eficiência coulômbica</t>
  </si>
  <si>
    <t>Reversibilidade carga/descarga</t>
  </si>
  <si>
    <t>Densidade de energia</t>
  </si>
  <si>
    <t>Wh/kg</t>
  </si>
  <si>
    <t>Energia específica do dispositivo</t>
  </si>
  <si>
    <t>Densidade de potência</t>
  </si>
  <si>
    <t>W/kg</t>
  </si>
  <si>
    <t>Capacidade de entrega rápida de energia</t>
  </si>
  <si>
    <t>Contribuição capacitiva</t>
  </si>
  <si>
    <t>Cinética superficial pelo método de Dunn</t>
  </si>
  <si>
    <t>Resistência série (Rs)</t>
  </si>
  <si>
    <t>Ω</t>
  </si>
  <si>
    <t>Menor é melhor</t>
  </si>
  <si>
    <t>Perdas ôhmicas do sistema</t>
  </si>
  <si>
    <t>Resistência de transferência/polarização</t>
  </si>
  <si>
    <t>Cinética interfacial</t>
  </si>
  <si>
    <t>Edite os nomes, unidades, direção e pesos conforme a Figura de Comparação Final. Os pesos podem estar em qualquer escala; a planilha os normaliza automaticamente para 100%.</t>
  </si>
  <si>
    <t>Classificação automática dos eletrólitos</t>
  </si>
  <si>
    <t>Eletrólito</t>
  </si>
  <si>
    <t>Capacitância
específica [F/g]</t>
  </si>
  <si>
    <t>Retenção de
capacitância [%]</t>
  </si>
  <si>
    <t>Contribuição
capacitiva [%]</t>
  </si>
  <si>
    <t>***H₂SO₄ 1 M</t>
  </si>
  <si>
    <t>**NaOH 1 M</t>
  </si>
  <si>
    <t>*Na₂SO₄ 1M</t>
  </si>
  <si>
    <t>**Li₂SO₄ 1M</t>
  </si>
  <si>
    <t>***LiCl Wis</t>
  </si>
  <si>
    <t>**LiOH 1M</t>
  </si>
  <si>
    <t>*KCl 1M</t>
  </si>
  <si>
    <t>*KOH 1M</t>
  </si>
  <si>
    <t>**NaCl 1M</t>
  </si>
  <si>
    <t>Área DRT de processos lentos</t>
  </si>
  <si>
    <t>Melhor eletrólito (score disponível)</t>
  </si>
  <si>
    <t>Maior score disponível</t>
  </si>
  <si>
    <t>Cobertura do vencedor</t>
  </si>
  <si>
    <t>Área DRT de
processos lentos [Ω]</t>
  </si>
  <si>
    <t>Score disponível</t>
  </si>
  <si>
    <t>Cobertura</t>
  </si>
  <si>
    <t>Classificação</t>
  </si>
  <si>
    <t>Completo</t>
  </si>
  <si>
    <t>N/D</t>
  </si>
  <si>
    <t>Como usar: insira os resultados experimentais nas colunas B–J. Use N/D quando uma métrica não foi obtida (não use zero para dados ausentes). O Score disponível normaliza cada critério entre 0 e 1 e renormaliza os pesos apenas sobre as métricas realmente disponíveis. A Cobertura indica qual fração do peso total foi efetivamente medida. A área DRT corresponde à soma das áreas dos picos lentos com τ ≥ 0,1 s.</t>
  </si>
  <si>
    <t>Guia de uso — classificação multicritério dos eletrólitos</t>
  </si>
  <si>
    <t>1. Preenchimento dos dados</t>
  </si>
  <si>
    <t>Preencha apenas valores realmente medidos. Quando um protocolo não produzir determinada métrica, escreva N/D. Não substitua dados ausentes por zero.</t>
  </si>
  <si>
    <t>2. Score disponível</t>
  </si>
  <si>
    <t>O Score disponível é uma média ponderada dos critérios normalizados, calculada somente com as métricas numéricas presentes naquela linha. Os pesos disponíveis são renormalizados automaticamente.</t>
  </si>
  <si>
    <t>3. Cobertura</t>
  </si>
  <si>
    <t>A Cobertura representa a soma dos pesos das métricas disponíveis dividida pelo peso total. Ex.: 95% significa que apenas o critério DRT (peso 5%) ainda está ausente.</t>
  </si>
  <si>
    <t>4. Área DRT de processos lentos</t>
  </si>
  <si>
    <t>Preencha com a soma das áreas dos picos DRT cujo tempo de relaxação seja τ ≥ 0,1 s. A unidade usada é Ω e a direção é 'Menor é melhor'. O mesmo limiar deve ser aplicado a todas as células.</t>
  </si>
  <si>
    <t>5. Status do protocolo</t>
  </si>
  <si>
    <t>Registre se o ensaio foi Completo, Parcial ou interrompido por falha/overflow. O status não entra diretamente no score, mas deve ser considerado na interpretação científica do ranking.</t>
  </si>
  <si>
    <t>Densidade de
energia [Wh/kg]</t>
  </si>
  <si>
    <t>Densidade de
potência [W/kg]</t>
  </si>
  <si>
    <t>Eficiência
coulômbica (1 A/g) [%]</t>
  </si>
  <si>
    <t>Rs [Ω]</t>
  </si>
  <si>
    <t>Rct/Rp [Ω]</t>
  </si>
  <si>
    <t>Parcial</t>
  </si>
  <si>
    <t>Status de Protocolo</t>
  </si>
  <si>
    <t>Soma das áreas dos picos DRT com τ ≥ 0,1 s (menor área, menor intensidade de processos lentos)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</si>
</sst>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i/>
      <sz val="11"/>
      <color rgb="FF1E3A8A"/>
      <name val="Carlito"/>
    </font>
    <font>
      <b/>
      <sz val="16"/>
      <color rgb="FFFFFFFF"/>
      <name val="Carlito"/>
    </font>
    <font>
      <b/>
      <sz val="11"/>
      <color rgb="FF1E3A8A"/>
      <name val="Carlito"/>
    </font>
    <font>
      <b/>
      <sz val="11"/>
      <color rgb="FF5B21B6"/>
      <name val="Carlito"/>
    </font>
    <font>
      <b/>
      <sz val="11"/>
      <color rgb="FF166534"/>
      <name val="Carlito"/>
    </font>
    <font>
      <b/>
      <sz val="15"/>
      <color rgb="FF0F172A"/>
      <name val="Carlito"/>
    </font>
    <font>
      <b/>
      <sz val="11"/>
      <name val="Carlito"/>
    </font>
    <font>
      <i/>
      <sz val="11"/>
      <color rgb="FF334155"/>
      <name val="Carlito"/>
    </font>
    <font>
      <b/>
      <sz val="11"/>
      <color rgb="FF3730A3"/>
      <name val="Carlito"/>
    </font>
    <font>
      <b/>
      <sz val="11"/>
      <color rgb="FF1E40AF"/>
      <name val="Carlito"/>
    </font>
    <font>
      <b/>
      <sz val="11"/>
      <color rgb="FF92400E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172554"/>
      </patternFill>
    </fill>
    <fill>
      <patternFill patternType="solid">
        <fgColor rgb="FF1E3A8A"/>
      </patternFill>
    </fill>
    <fill>
      <patternFill patternType="solid">
        <fgColor rgb="FFEFF6FF"/>
      </patternFill>
    </fill>
    <fill>
      <patternFill patternType="solid">
        <fgColor rgb="FF111827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DCFCE7"/>
      </patternFill>
    </fill>
    <fill>
      <patternFill patternType="solid">
        <fgColor rgb="FF1E40AF"/>
      </patternFill>
    </fill>
    <fill>
      <patternFill patternType="solid">
        <fgColor rgb="FFF8FAFC"/>
      </patternFill>
    </fill>
    <fill>
      <patternFill patternType="solid">
        <fgColor rgb="FF312E81"/>
      </patternFill>
    </fill>
    <fill>
      <patternFill patternType="solid">
        <fgColor rgb="FFE0E7FF"/>
      </patternFill>
    </fill>
    <fill>
      <patternFill patternType="solid">
        <fgColor rgb="FFFEF3C7"/>
      </patternFill>
    </fill>
    <fill>
      <patternFill patternType="solid">
        <fgColor rgb="FF312E81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2" fontId="0" fillId="0" borderId="0" xfId="0" applyNumberFormat="1"/>
    <xf numFmtId="10" fontId="0" fillId="0" borderId="0" xfId="0" applyNumberFormat="1"/>
    <xf numFmtId="0" fontId="0" fillId="0" borderId="1" xfId="0" applyBorder="1"/>
    <xf numFmtId="0" fontId="0" fillId="0" borderId="2" xfId="0" applyBorder="1"/>
    <xf numFmtId="2" fontId="0" fillId="0" borderId="2" xfId="0" applyNumberFormat="1" applyBorder="1"/>
    <xf numFmtId="10" fontId="0" fillId="0" borderId="2" xfId="0" applyNumberFormat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10" fontId="0" fillId="0" borderId="7" xfId="0" applyNumberFormat="1" applyBorder="1"/>
    <xf numFmtId="0" fontId="2" fillId="9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22" xfId="0" applyNumberFormat="1" applyBorder="1"/>
    <xf numFmtId="2" fontId="0" fillId="0" borderId="25" xfId="0" applyNumberFormat="1" applyBorder="1"/>
    <xf numFmtId="164" fontId="0" fillId="0" borderId="25" xfId="0" applyNumberFormat="1" applyBorder="1"/>
    <xf numFmtId="1" fontId="0" fillId="0" borderId="26" xfId="0" applyNumberFormat="1" applyBorder="1"/>
    <xf numFmtId="0" fontId="9" fillId="0" borderId="21" xfId="0" applyFont="1" applyBorder="1"/>
    <xf numFmtId="0" fontId="9" fillId="0" borderId="23" xfId="0" applyFont="1" applyBorder="1"/>
    <xf numFmtId="0" fontId="9" fillId="0" borderId="24" xfId="0" applyFont="1" applyBorder="1"/>
    <xf numFmtId="0" fontId="0" fillId="0" borderId="0" xfId="0" applyAlignment="1">
      <alignment wrapText="1"/>
    </xf>
    <xf numFmtId="0" fontId="10" fillId="10" borderId="0" xfId="0" applyFont="1" applyFill="1" applyAlignment="1">
      <alignment vertical="center" wrapText="1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6" fillId="7" borderId="0" xfId="0" applyFont="1" applyFill="1" applyAlignment="1">
      <alignment horizontal="center"/>
    </xf>
    <xf numFmtId="164" fontId="8" fillId="0" borderId="13" xfId="0" applyNumberFormat="1" applyFont="1" applyBorder="1" applyAlignment="1">
      <alignment horizontal="center" vertical="center"/>
    </xf>
    <xf numFmtId="164" fontId="8" fillId="0" borderId="14" xfId="0" applyNumberFormat="1" applyFont="1" applyBorder="1" applyAlignment="1">
      <alignment horizontal="center" vertical="center"/>
    </xf>
    <xf numFmtId="164" fontId="8" fillId="0" borderId="15" xfId="0" applyNumberFormat="1" applyFont="1" applyBorder="1" applyAlignment="1">
      <alignment horizontal="center" vertical="center"/>
    </xf>
    <xf numFmtId="164" fontId="8" fillId="0" borderId="16" xfId="0" applyNumberFormat="1" applyFont="1" applyBorder="1" applyAlignment="1">
      <alignment horizontal="center" vertical="center"/>
    </xf>
    <xf numFmtId="0" fontId="7" fillId="8" borderId="0" xfId="0" applyFont="1" applyFill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7" fillId="8" borderId="0" xfId="0" applyFont="1" applyFill="1" applyAlignment="1">
      <alignment wrapText="1"/>
    </xf>
    <xf numFmtId="0" fontId="7" fillId="8" borderId="0" xfId="0" applyFont="1" applyFill="1"/>
    <xf numFmtId="0" fontId="0" fillId="0" borderId="0" xfId="0" applyAlignment="1">
      <alignment wrapText="1"/>
    </xf>
    <xf numFmtId="0" fontId="0" fillId="0" borderId="0" xfId="0"/>
    <xf numFmtId="0" fontId="13" fillId="13" borderId="0" xfId="0" applyFont="1" applyFill="1" applyAlignment="1">
      <alignment wrapText="1"/>
    </xf>
    <xf numFmtId="0" fontId="1" fillId="14" borderId="0" xfId="0" applyFont="1" applyFill="1" applyAlignment="1">
      <alignment horizontal="center" wrapText="1"/>
    </xf>
    <xf numFmtId="0" fontId="4" fillId="11" borderId="0" xfId="0" applyFont="1" applyFill="1" applyAlignment="1">
      <alignment horizontal="center"/>
    </xf>
    <xf numFmtId="0" fontId="11" fillId="12" borderId="0" xfId="0" applyFont="1" applyFill="1" applyAlignment="1">
      <alignment wrapText="1"/>
    </xf>
    <xf numFmtId="0" fontId="11" fillId="12" borderId="0" xfId="0" applyFont="1" applyFill="1"/>
    <xf numFmtId="0" fontId="12" fillId="6" borderId="0" xfId="0" applyFont="1" applyFill="1" applyAlignment="1">
      <alignment wrapText="1"/>
    </xf>
    <xf numFmtId="0" fontId="12" fillId="6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Pontuação final por eletrólito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B5C-4275-861E-323D527F4FAB}"/>
            </c:ext>
          </c:extLst>
        </c:ser>
        <c:ser>
          <c:idx val="1"/>
          <c:order val="1"/>
          <c:tx>
            <c:v>Pontuação</c:v>
          </c:tx>
          <c:invertIfNegative val="1"/>
          <c:cat>
            <c:strRef>
              <c:f>Classificação!$A$9:$A$18</c:f>
              <c:strCache>
                <c:ptCount val="9"/>
                <c:pt idx="0">
                  <c:v>***H₂SO₄ 1 M</c:v>
                </c:pt>
                <c:pt idx="1">
                  <c:v>**NaOH 1 M</c:v>
                </c:pt>
                <c:pt idx="2">
                  <c:v>*Na₂SO₄ 1M</c:v>
                </c:pt>
                <c:pt idx="3">
                  <c:v>**Li₂SO₄ 1M</c:v>
                </c:pt>
                <c:pt idx="4">
                  <c:v>***LiCl Wis</c:v>
                </c:pt>
                <c:pt idx="5">
                  <c:v>**LiOH 1M</c:v>
                </c:pt>
                <c:pt idx="6">
                  <c:v>*KCl 1M</c:v>
                </c:pt>
                <c:pt idx="7">
                  <c:v>*KOH 1M</c:v>
                </c:pt>
                <c:pt idx="8">
                  <c:v>**NaCl 1M</c:v>
                </c:pt>
              </c:strCache>
            </c:strRef>
          </c:cat>
          <c:val>
            <c:numRef>
              <c:f>Classificação!$K$9:$K$18</c:f>
              <c:numCache>
                <c:formatCode>0.0%</c:formatCode>
                <c:ptCount val="10"/>
                <c:pt idx="0">
                  <c:v>0.36585323131879538</c:v>
                </c:pt>
                <c:pt idx="1">
                  <c:v>0.46663783255627939</c:v>
                </c:pt>
                <c:pt idx="2">
                  <c:v>0.47409118337193384</c:v>
                </c:pt>
                <c:pt idx="3">
                  <c:v>0.31485677316936905</c:v>
                </c:pt>
                <c:pt idx="4">
                  <c:v>0.49569513390100067</c:v>
                </c:pt>
                <c:pt idx="5">
                  <c:v>0.62591242243036516</c:v>
                </c:pt>
                <c:pt idx="6">
                  <c:v>0.39840421540161353</c:v>
                </c:pt>
                <c:pt idx="7">
                  <c:v>0.38110582618232303</c:v>
                </c:pt>
                <c:pt idx="8">
                  <c:v>0.63400583627684648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5C-4275-861E-323D527F4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104775</xdr:colOff>
      <xdr:row>0</xdr:row>
      <xdr:rowOff>352425</xdr:rowOff>
    </xdr:from>
    <xdr:to>
      <xdr:col>22</xdr:col>
      <xdr:colOff>409575</xdr:colOff>
      <xdr:row>16</xdr:row>
      <xdr:rowOff>161925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F16"/>
  <sheetViews>
    <sheetView tabSelected="1" workbookViewId="0">
      <selection activeCell="H13" sqref="H13"/>
    </sheetView>
  </sheetViews>
  <sheetFormatPr defaultRowHeight="15" x14ac:dyDescent="0.25"/>
  <cols>
    <col min="1" max="1" width="32" customWidth="1"/>
    <col min="2" max="2" width="12" customWidth="1"/>
    <col min="3" max="3" width="18" customWidth="1"/>
    <col min="4" max="5" width="14" customWidth="1"/>
    <col min="6" max="6" width="73.5" style="53" customWidth="1"/>
  </cols>
  <sheetData>
    <row r="1" spans="1:6" ht="27.95" customHeight="1" x14ac:dyDescent="0.25">
      <c r="A1" s="40" t="s">
        <v>0</v>
      </c>
      <c r="B1" s="40"/>
      <c r="C1" s="40"/>
      <c r="D1" s="40"/>
      <c r="E1" s="40"/>
      <c r="F1" s="40"/>
    </row>
    <row r="3" spans="1:6" ht="3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57" t="s">
        <v>6</v>
      </c>
    </row>
    <row r="4" spans="1:6" x14ac:dyDescent="0.25">
      <c r="A4" s="4" t="s">
        <v>7</v>
      </c>
      <c r="B4" s="5" t="s">
        <v>8</v>
      </c>
      <c r="C4" s="5" t="s">
        <v>9</v>
      </c>
      <c r="D4" s="6">
        <v>20</v>
      </c>
      <c r="E4" s="7">
        <f t="shared" ref="E4:E12" si="0">IFERROR(D4/SUM($D$4:$D$12),0)</f>
        <v>0.2</v>
      </c>
      <c r="F4" s="58" t="s">
        <v>10</v>
      </c>
    </row>
    <row r="5" spans="1:6" x14ac:dyDescent="0.25">
      <c r="A5" s="8" t="s">
        <v>11</v>
      </c>
      <c r="B5" t="s">
        <v>12</v>
      </c>
      <c r="C5" t="s">
        <v>9</v>
      </c>
      <c r="D5" s="2">
        <v>15</v>
      </c>
      <c r="E5" s="3">
        <f t="shared" si="0"/>
        <v>0.15</v>
      </c>
      <c r="F5" s="59" t="s">
        <v>13</v>
      </c>
    </row>
    <row r="6" spans="1:6" x14ac:dyDescent="0.25">
      <c r="A6" s="8" t="s">
        <v>14</v>
      </c>
      <c r="B6" t="s">
        <v>12</v>
      </c>
      <c r="C6" t="s">
        <v>9</v>
      </c>
      <c r="D6" s="2">
        <v>10</v>
      </c>
      <c r="E6" s="3">
        <f t="shared" si="0"/>
        <v>0.1</v>
      </c>
      <c r="F6" s="59" t="s">
        <v>15</v>
      </c>
    </row>
    <row r="7" spans="1:6" x14ac:dyDescent="0.25">
      <c r="A7" s="8" t="s">
        <v>16</v>
      </c>
      <c r="B7" t="s">
        <v>17</v>
      </c>
      <c r="C7" t="s">
        <v>9</v>
      </c>
      <c r="D7" s="2">
        <v>15</v>
      </c>
      <c r="E7" s="3">
        <f t="shared" si="0"/>
        <v>0.15</v>
      </c>
      <c r="F7" s="59" t="s">
        <v>18</v>
      </c>
    </row>
    <row r="8" spans="1:6" x14ac:dyDescent="0.25">
      <c r="A8" s="8" t="s">
        <v>19</v>
      </c>
      <c r="B8" t="s">
        <v>20</v>
      </c>
      <c r="C8" t="s">
        <v>9</v>
      </c>
      <c r="D8" s="2">
        <v>10</v>
      </c>
      <c r="E8" s="3">
        <f t="shared" si="0"/>
        <v>0.1</v>
      </c>
      <c r="F8" s="59" t="s">
        <v>21</v>
      </c>
    </row>
    <row r="9" spans="1:6" x14ac:dyDescent="0.25">
      <c r="A9" s="8" t="s">
        <v>22</v>
      </c>
      <c r="B9" t="s">
        <v>12</v>
      </c>
      <c r="C9" t="s">
        <v>9</v>
      </c>
      <c r="D9" s="2">
        <v>5</v>
      </c>
      <c r="E9" s="3">
        <f t="shared" si="0"/>
        <v>0.05</v>
      </c>
      <c r="F9" s="59" t="s">
        <v>23</v>
      </c>
    </row>
    <row r="10" spans="1:6" x14ac:dyDescent="0.25">
      <c r="A10" s="8" t="s">
        <v>24</v>
      </c>
      <c r="B10" t="s">
        <v>25</v>
      </c>
      <c r="C10" t="s">
        <v>26</v>
      </c>
      <c r="D10" s="2">
        <v>10</v>
      </c>
      <c r="E10" s="3">
        <f t="shared" si="0"/>
        <v>0.1</v>
      </c>
      <c r="F10" s="59" t="s">
        <v>27</v>
      </c>
    </row>
    <row r="11" spans="1:6" x14ac:dyDescent="0.25">
      <c r="A11" s="8" t="s">
        <v>28</v>
      </c>
      <c r="B11" t="s">
        <v>25</v>
      </c>
      <c r="C11" t="s">
        <v>26</v>
      </c>
      <c r="D11" s="2">
        <v>10</v>
      </c>
      <c r="E11" s="3">
        <f t="shared" si="0"/>
        <v>0.1</v>
      </c>
      <c r="F11" s="59" t="s">
        <v>29</v>
      </c>
    </row>
    <row r="12" spans="1:6" ht="17.25" customHeight="1" x14ac:dyDescent="0.25">
      <c r="A12" s="9" t="s">
        <v>45</v>
      </c>
      <c r="B12" s="10" t="s">
        <v>25</v>
      </c>
      <c r="C12" s="10" t="s">
        <v>26</v>
      </c>
      <c r="D12" s="11">
        <v>5</v>
      </c>
      <c r="E12" s="12">
        <f t="shared" si="0"/>
        <v>0.05</v>
      </c>
      <c r="F12" s="60" t="s">
        <v>74</v>
      </c>
    </row>
    <row r="14" spans="1:6" x14ac:dyDescent="0.25">
      <c r="A14" s="41" t="s">
        <v>30</v>
      </c>
      <c r="B14" s="41"/>
      <c r="C14" s="41"/>
      <c r="D14" s="41"/>
      <c r="E14" s="41"/>
      <c r="F14" s="41"/>
    </row>
    <row r="15" spans="1:6" x14ac:dyDescent="0.25">
      <c r="A15" s="41"/>
      <c r="B15" s="41"/>
      <c r="C15" s="41"/>
      <c r="D15" s="41"/>
      <c r="E15" s="41"/>
      <c r="F15" s="41"/>
    </row>
    <row r="16" spans="1:6" x14ac:dyDescent="0.25">
      <c r="A16" s="41"/>
      <c r="B16" s="41"/>
      <c r="C16" s="41"/>
      <c r="D16" s="41"/>
      <c r="E16" s="41"/>
      <c r="F16" s="41"/>
    </row>
  </sheetData>
  <mergeCells count="2">
    <mergeCell ref="A1:F1"/>
    <mergeCell ref="A14:F16"/>
  </mergeCells>
  <conditionalFormatting sqref="D4:D12">
    <cfRule type="dataBar" priority="1">
      <dataBar>
        <cfvo type="min"/>
        <cfvo type="max"/>
        <color rgb="FF3B82F6"/>
      </dataBar>
    </cfRule>
    <cfRule type="dataBar" priority="3">
      <dataBar>
        <cfvo type="min"/>
        <cfvo type="max"/>
        <color rgb="FF3B82F6"/>
      </dataBar>
    </cfRule>
    <cfRule type="dataBar" priority="5">
      <dataBar>
        <cfvo type="min"/>
        <cfvo type="max"/>
        <color rgb="FF3B82F6"/>
      </dataBar>
      <extLst>
        <ext xmlns:x14="http://schemas.microsoft.com/office/spreadsheetml/2009/9/main" uri="{B025F937-C7B1-47D3-B67F-A62EFF666E3E}">
          <x14:id>{9EAC7F50-B120-96E6-3AE3-4DACFFBF996A}</x14:id>
        </ext>
      </extLst>
    </cfRule>
  </conditionalFormatting>
  <conditionalFormatting sqref="E4:E12">
    <cfRule type="dataBar" priority="2">
      <dataBar>
        <cfvo type="min"/>
        <cfvo type="max"/>
        <color rgb="FF7C3AED"/>
      </dataBar>
    </cfRule>
    <cfRule type="dataBar" priority="4">
      <dataBar>
        <cfvo type="min"/>
        <cfvo type="max"/>
        <color rgb="FF7C3AED"/>
      </dataBar>
    </cfRule>
    <cfRule type="dataBar" priority="6">
      <dataBar>
        <cfvo type="min"/>
        <cfvo type="max"/>
        <color rgb="FF7C3AED"/>
      </dataBar>
      <extLst>
        <ext xmlns:x14="http://schemas.microsoft.com/office/spreadsheetml/2009/9/main" uri="{B025F937-C7B1-47D3-B67F-A62EFF666E3E}">
          <x14:id>{619362EE-1518-08D4-C843-6A2A448B0E3D}</x14:id>
        </ext>
      </extLst>
    </cfRule>
  </conditionalFormatting>
  <dataValidations count="1">
    <dataValidation type="list" sqref="C4:C12" xr:uid="{00000000-0002-0000-0000-000000000000}">
      <formula1>"Maior é melhor,Menor é melhor"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AC7F50-B120-96E6-3AE3-4DACFFBF996A}">
            <x14:dataBar>
              <x14:cfvo type="min"/>
              <x14:cfvo type="max"/>
              <x14:negativeFillColor auto="1"/>
              <x14:axisColor auto="1"/>
            </x14:dataBar>
          </x14:cfRule>
          <xm:sqref>D4:D12</xm:sqref>
        </x14:conditionalFormatting>
        <x14:conditionalFormatting xmlns:xm="http://schemas.microsoft.com/office/excel/2006/main">
          <x14:cfRule type="dataBar" id="{619362EE-1518-08D4-C843-6A2A448B0E3D}">
            <x14:dataBar>
              <x14:cfvo type="min"/>
              <x14:cfvo type="max"/>
              <x14:negativeFillColor auto="1"/>
              <x14:axisColor auto="1"/>
            </x14:dataBar>
          </x14:cfRule>
          <xm:sqref>E4:E12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N23"/>
  <sheetViews>
    <sheetView workbookViewId="0">
      <selection activeCell="T21" sqref="T21"/>
    </sheetView>
  </sheetViews>
  <sheetFormatPr defaultRowHeight="15" x14ac:dyDescent="0.25"/>
  <cols>
    <col min="1" max="1" width="13.875" customWidth="1"/>
    <col min="2" max="2" width="15" customWidth="1"/>
    <col min="3" max="3" width="13.625" customWidth="1"/>
    <col min="4" max="4" width="15.75" customWidth="1"/>
    <col min="5" max="5" width="13.75" customWidth="1"/>
    <col min="6" max="6" width="14.125" customWidth="1"/>
    <col min="7" max="7" width="12.25" customWidth="1"/>
    <col min="8" max="8" width="6.125" customWidth="1"/>
    <col min="9" max="9" width="11.25" customWidth="1"/>
    <col min="10" max="10" width="10.25" customWidth="1"/>
    <col min="11" max="11" width="10" customWidth="1"/>
    <col min="12" max="12" width="8.5" customWidth="1"/>
    <col min="13" max="13" width="8.75" style="54" customWidth="1"/>
    <col min="14" max="14" width="10.875" style="54" customWidth="1"/>
  </cols>
  <sheetData>
    <row r="1" spans="1:14" ht="30" customHeight="1" x14ac:dyDescent="0.25">
      <c r="A1" s="24" t="s">
        <v>31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3" spans="1:14" x14ac:dyDescent="0.25">
      <c r="A3" s="25" t="s">
        <v>46</v>
      </c>
      <c r="B3" s="25"/>
      <c r="C3" s="30" t="s">
        <v>47</v>
      </c>
      <c r="D3" s="30"/>
      <c r="E3" s="35" t="s">
        <v>48</v>
      </c>
      <c r="F3" s="35"/>
    </row>
    <row r="4" spans="1:14" x14ac:dyDescent="0.25">
      <c r="A4" s="26" t="str">
        <f>IF(COUNT($K$9:$K$17)=0,"Aguardando dados",INDEX($A$9:$A$17,MATCH(MAX($K$9:$K$17),$K$9:$K$17,0)))</f>
        <v>**NaCl 1M</v>
      </c>
      <c r="B4" s="27"/>
      <c r="C4" s="31">
        <f>IF(COUNT($K$9:$K$17)=0,"",MAX($K$9:$K$17))</f>
        <v>0.63400583627684648</v>
      </c>
      <c r="D4" s="32"/>
      <c r="E4" s="36">
        <f>IF(COUNT($K$9:$K$17)=0,"",INDEX($L$9:$L$17,MATCH(MAX($K$9:$K$17),$K$9:$K$17,0)))</f>
        <v>1</v>
      </c>
      <c r="F4" s="37"/>
    </row>
    <row r="5" spans="1:14" x14ac:dyDescent="0.25">
      <c r="A5" s="28"/>
      <c r="B5" s="29"/>
      <c r="C5" s="33"/>
      <c r="D5" s="34"/>
      <c r="E5" s="38"/>
      <c r="F5" s="39"/>
    </row>
    <row r="8" spans="1:14" ht="42" customHeight="1" x14ac:dyDescent="0.25">
      <c r="A8" s="13" t="s">
        <v>32</v>
      </c>
      <c r="B8" s="13" t="s">
        <v>33</v>
      </c>
      <c r="C8" s="13" t="s">
        <v>34</v>
      </c>
      <c r="D8" s="13" t="s">
        <v>69</v>
      </c>
      <c r="E8" s="13" t="s">
        <v>67</v>
      </c>
      <c r="F8" s="13" t="s">
        <v>68</v>
      </c>
      <c r="G8" s="13" t="s">
        <v>35</v>
      </c>
      <c r="H8" s="13" t="s">
        <v>70</v>
      </c>
      <c r="I8" s="13" t="s">
        <v>71</v>
      </c>
      <c r="J8" s="13" t="s">
        <v>49</v>
      </c>
      <c r="K8" s="13" t="s">
        <v>50</v>
      </c>
      <c r="L8" s="13" t="s">
        <v>51</v>
      </c>
      <c r="M8" s="13" t="s">
        <v>73</v>
      </c>
      <c r="N8" s="13" t="s">
        <v>52</v>
      </c>
    </row>
    <row r="9" spans="1:14" x14ac:dyDescent="0.25">
      <c r="A9" s="19" t="s">
        <v>36</v>
      </c>
      <c r="B9" s="15">
        <v>4.5</v>
      </c>
      <c r="C9" s="15">
        <v>127.95</v>
      </c>
      <c r="D9" s="15">
        <v>99.843400000000003</v>
      </c>
      <c r="E9" s="15">
        <v>1.7000000000000001E-2</v>
      </c>
      <c r="F9" s="15">
        <v>2701.6</v>
      </c>
      <c r="G9" s="15">
        <v>100</v>
      </c>
      <c r="H9" s="15">
        <v>2.4590000000000001</v>
      </c>
      <c r="I9" s="15">
        <v>4775.5275000000001</v>
      </c>
      <c r="J9" s="2">
        <v>2654.0966666700001</v>
      </c>
      <c r="K9" s="14">
        <f>IF((IF(COUNT(B9)=1,Configuração!$E$4,0) + IF(COUNT(C9)=1,Configuração!$E$5,0) + IF(COUNT(D9)=1,Configuração!$E$6,0) + IF(COUNT(E9)=1,Configuração!$E$7,0) + IF(COUNT(F9)=1,Configuração!$E$8,0) + IF(COUNT(G9)=1,Configuração!$E$9,0) + IF(COUNT(H9)=1,Configuração!$E$10,0) + IF(COUNT(I9)=1,Configuração!$E$11,0) + IF(COUNT(J9)=1,Configuração!$E$12,0))=0,"",(IF(COUNT(B9)=1,(IF(Configuração!$C$4="Maior é melhor",IF(MAX($B$9:$B$17)=MIN($B$9:$B$17),1,(B9-MIN($B$9:$B$17))/(MAX($B$9:$B$17)-MIN($B$9:$B$17))),IF(MAX($B$9:$B$17)=MIN($B$9:$B$17),1,(MAX($B$9:$B$17)-B9)/(MAX($B$9:$B$17)-MIN($B$9:$B$17)))))*Configuração!$E$4,0) + IF(COUNT(C9)=1,(IF(Configuração!$C$5="Maior é melhor",IF(MAX($C$9:$C$17)=MIN($C$9:$C$17),1,(C9-MIN($C$9:$C$17))/(MAX($C$9:$C$17)-MIN($C$9:$C$17))),IF(MAX($C$9:$C$17)=MIN($C$9:$C$17),1,(MAX($C$9:$C$17)-C9)/(MAX($C$9:$C$17)-MIN($C$9:$C$17)))))*Configuração!$E$5,0) + IF(COUNT(D9)=1,(IF(Configuração!$C$6="Maior é melhor",IF(MAX($D$9:$D$17)=MIN($D$9:$D$17),1,(D9-MIN($D$9:$D$17))/(MAX($D$9:$D$17)-MIN($D$9:$D$17))),IF(MAX($D$9:$D$17)=MIN($D$9:$D$17),1,(MAX($D$9:$D$17)-D9)/(MAX($D$9:$D$17)-MIN($D$9:$D$17)))))*Configuração!$E$6,0) + IF(COUNT(E9)=1,(IF(Configuração!$C$7="Maior é melhor",IF(MAX($E$9:$E$17)=MIN($E$9:$E$17),1,(E9-MIN($E$9:$E$17))/(MAX($E$9:$E$17)-MIN($E$9:$E$17))),IF(MAX($E$9:$E$17)=MIN($E$9:$E$17),1,(MAX($E$9:$E$17)-E9)/(MAX($E$9:$E$17)-MIN($E$9:$E$17)))))*Configuração!$E$7,0) + IF(COUNT(F9)=1,(IF(Configuração!$C$8="Maior é melhor",IF(MAX($F$9:$F$17)=MIN($F$9:$F$17),1,(F9-MIN($F$9:$F$17))/(MAX($F$9:$F$17)-MIN($F$9:$F$17))),IF(MAX($F$9:$F$17)=MIN($F$9:$F$17),1,(MAX($F$9:$F$17)-F9)/(MAX($F$9:$F$17)-MIN($F$9:$F$17)))))*Configuração!$E$8,0) + IF(COUNT(G9)=1,(IF(Configuração!$C$9="Maior é melhor",IF(MAX($G$9:$G$17)=MIN($G$9:$G$17),1,(G9-MIN($G$9:$G$17))/(MAX($G$9:$G$17)-MIN($G$9:$G$17))),IF(MAX($G$9:$G$17)=MIN($G$9:$G$17),1,(MAX($G$9:$G$17)-G9)/(MAX($G$9:$G$17)-MIN($G$9:$G$17)))))*Configuração!$E$9,0) + IF(COUNT(H9)=1,(IF(Configuração!$C$10="Maior é melhor",IF(MAX($H$9:$H$17)=MIN($H$9:$H$17),1,(H9-MIN($H$9:$H$17))/(MAX($H$9:$H$17)-MIN($H$9:$H$17))),IF(MAX($H$9:$H$17)=MIN($H$9:$H$17),1,(MAX($H$9:$H$17)-H9)/(MAX($H$9:$H$17)-MIN($H$9:$H$17)))))*Configuração!$E$10,0) + IF(COUNT(I9)=1,(IF(Configuração!$C$11="Maior é melhor",IF(MAX($I$9:$I$17)=MIN($I$9:$I$17),1,(I9-MIN($I$9:$I$17))/(MAX($I$9:$I$17)-MIN($I$9:$I$17))),IF(MAX($I$9:$I$17)=MIN($I$9:$I$17),1,(MAX($I$9:$I$17)-I9)/(MAX($I$9:$I$17)-MIN($I$9:$I$17)))))*Configuração!$E$11,0) + IF(COUNT(J9)=1,(IF(Configuração!$C$12="Maior é melhor",IF(MAX($J$9:$J$17)=MIN($J$9:$J$17),1,(J9-MIN($J$9:$J$17))/(MAX($J$9:$J$17)-MIN($J$9:$J$17))),IF(MAX($J$9:$J$17)=MIN($J$9:$J$17),1,(MAX($J$9:$J$17)-J9)/(MAX($J$9:$J$17)-MIN($J$9:$J$17)))))*Configuração!$E$12,0))/(IF(COUNT(B9)=1,Configuração!$E$4,0) + IF(COUNT(C9)=1,Configuração!$E$5,0) + IF(COUNT(D9)=1,Configuração!$E$6,0) + IF(COUNT(E9)=1,Configuração!$E$7,0) + IF(COUNT(F9)=1,Configuração!$E$8,0) + IF(COUNT(G9)=1,Configuração!$E$9,0) + IF(COUNT(H9)=1,Configuração!$E$10,0) + IF(COUNT(I9)=1,Configuração!$E$11,0) + IF(COUNT(J9)=1,Configuração!$E$12,0)))</f>
        <v>0.36585323131879538</v>
      </c>
      <c r="L9" s="14">
        <v>1</v>
      </c>
      <c r="M9" s="56" t="s">
        <v>53</v>
      </c>
      <c r="N9" s="55">
        <f>IF(K9="","",1+IF(K10&gt;K9,1,0)+IF(K11&gt;K9,1,0)+IF(K12&gt;K9,1,0)+IF(K13&gt;K9,1,0)+IF(K14&gt;K9,1,0)+IF(K15&gt;K9,1,0)+IF(K16&gt;K9,1,0)+IF(K17&gt;K9,1,0))</f>
        <v>8</v>
      </c>
    </row>
    <row r="10" spans="1:14" x14ac:dyDescent="0.25">
      <c r="A10" s="20" t="s">
        <v>37</v>
      </c>
      <c r="B10" s="2">
        <v>17.425000000000001</v>
      </c>
      <c r="C10" s="2" t="s">
        <v>54</v>
      </c>
      <c r="D10" s="2">
        <v>98.08</v>
      </c>
      <c r="E10" s="2">
        <v>5.4699999999999999E-2</v>
      </c>
      <c r="F10" s="2">
        <v>7574.7</v>
      </c>
      <c r="G10" s="2">
        <v>99</v>
      </c>
      <c r="H10" s="2">
        <v>6.9000000000000006E-2</v>
      </c>
      <c r="I10" s="2">
        <v>2609759.611</v>
      </c>
      <c r="J10" s="2">
        <v>6690</v>
      </c>
      <c r="K10" s="14">
        <f>IF((IF(COUNT(B10)=1,Configuração!$E$4,0) + IF(COUNT(C10)=1,Configuração!$E$5,0) + IF(COUNT(D10)=1,Configuração!$E$6,0) + IF(COUNT(E10)=1,Configuração!$E$7,0) + IF(COUNT(F10)=1,Configuração!$E$8,0) + IF(COUNT(G10)=1,Configuração!$E$9,0) + IF(COUNT(H10)=1,Configuração!$E$10,0) + IF(COUNT(I10)=1,Configuração!$E$11,0) + IF(COUNT(J10)=1,Configuração!$E$12,0))=0,"",(IF(COUNT(B10)=1,(IF(Configuração!$C$4="Maior é melhor",IF(MAX($B$9:$B$17)=MIN($B$9:$B$17),1,(B10-MIN($B$9:$B$17))/(MAX($B$9:$B$17)-MIN($B$9:$B$17))),IF(MAX($B$9:$B$17)=MIN($B$9:$B$17),1,(MAX($B$9:$B$17)-B10)/(MAX($B$9:$B$17)-MIN($B$9:$B$17)))))*Configuração!$E$4,0) + IF(COUNT(C10)=1,(IF(Configuração!$C$5="Maior é melhor",IF(MAX($C$9:$C$17)=MIN($C$9:$C$17),1,(C10-MIN($C$9:$C$17))/(MAX($C$9:$C$17)-MIN($C$9:$C$17))),IF(MAX($C$9:$C$17)=MIN($C$9:$C$17),1,(MAX($C$9:$C$17)-C10)/(MAX($C$9:$C$17)-MIN($C$9:$C$17)))))*Configuração!$E$5,0) + IF(COUNT(D10)=1,(IF(Configuração!$C$6="Maior é melhor",IF(MAX($D$9:$D$17)=MIN($D$9:$D$17),1,(D10-MIN($D$9:$D$17))/(MAX($D$9:$D$17)-MIN($D$9:$D$17))),IF(MAX($D$9:$D$17)=MIN($D$9:$D$17),1,(MAX($D$9:$D$17)-D10)/(MAX($D$9:$D$17)-MIN($D$9:$D$17)))))*Configuração!$E$6,0) + IF(COUNT(E10)=1,(IF(Configuração!$C$7="Maior é melhor",IF(MAX($E$9:$E$17)=MIN($E$9:$E$17),1,(E10-MIN($E$9:$E$17))/(MAX($E$9:$E$17)-MIN($E$9:$E$17))),IF(MAX($E$9:$E$17)=MIN($E$9:$E$17),1,(MAX($E$9:$E$17)-E10)/(MAX($E$9:$E$17)-MIN($E$9:$E$17)))))*Configuração!$E$7,0) + IF(COUNT(F10)=1,(IF(Configuração!$C$8="Maior é melhor",IF(MAX($F$9:$F$17)=MIN($F$9:$F$17),1,(F10-MIN($F$9:$F$17))/(MAX($F$9:$F$17)-MIN($F$9:$F$17))),IF(MAX($F$9:$F$17)=MIN($F$9:$F$17),1,(MAX($F$9:$F$17)-F10)/(MAX($F$9:$F$17)-MIN($F$9:$F$17)))))*Configuração!$E$8,0) + IF(COUNT(G10)=1,(IF(Configuração!$C$9="Maior é melhor",IF(MAX($G$9:$G$17)=MIN($G$9:$G$17),1,(G10-MIN($G$9:$G$17))/(MAX($G$9:$G$17)-MIN($G$9:$G$17))),IF(MAX($G$9:$G$17)=MIN($G$9:$G$17),1,(MAX($G$9:$G$17)-G10)/(MAX($G$9:$G$17)-MIN($G$9:$G$17)))))*Configuração!$E$9,0) + IF(COUNT(H10)=1,(IF(Configuração!$C$10="Maior é melhor",IF(MAX($H$9:$H$17)=MIN($H$9:$H$17),1,(H10-MIN($H$9:$H$17))/(MAX($H$9:$H$17)-MIN($H$9:$H$17))),IF(MAX($H$9:$H$17)=MIN($H$9:$H$17),1,(MAX($H$9:$H$17)-H10)/(MAX($H$9:$H$17)-MIN($H$9:$H$17)))))*Configuração!$E$10,0) + IF(COUNT(I10)=1,(IF(Configuração!$C$11="Maior é melhor",IF(MAX($I$9:$I$17)=MIN($I$9:$I$17),1,(I10-MIN($I$9:$I$17))/(MAX($I$9:$I$17)-MIN($I$9:$I$17))),IF(MAX($I$9:$I$17)=MIN($I$9:$I$17),1,(MAX($I$9:$I$17)-I10)/(MAX($I$9:$I$17)-MIN($I$9:$I$17)))))*Configuração!$E$11,0) + IF(COUNT(J10)=1,(IF(Configuração!$C$12="Maior é melhor",IF(MAX($J$9:$J$17)=MIN($J$9:$J$17),1,(J10-MIN($J$9:$J$17))/(MAX($J$9:$J$17)-MIN($J$9:$J$17))),IF(MAX($J$9:$J$17)=MIN($J$9:$J$17),1,(MAX($J$9:$J$17)-J10)/(MAX($J$9:$J$17)-MIN($J$9:$J$17)))))*Configuração!$E$12,0))/(IF(COUNT(B10)=1,Configuração!$E$4,0) + IF(COUNT(C10)=1,Configuração!$E$5,0) + IF(COUNT(D10)=1,Configuração!$E$6,0) + IF(COUNT(E10)=1,Configuração!$E$7,0) + IF(COUNT(F10)=1,Configuração!$E$8,0) + IF(COUNT(G10)=1,Configuração!$E$9,0) + IF(COUNT(H10)=1,Configuração!$E$10,0) + IF(COUNT(I10)=1,Configuração!$E$11,0) + IF(COUNT(J10)=1,Configuração!$E$12,0)))</f>
        <v>0.46663783255627939</v>
      </c>
      <c r="L10" s="14">
        <v>0.88900000000000001</v>
      </c>
      <c r="M10" s="56" t="s">
        <v>72</v>
      </c>
      <c r="N10" s="55">
        <f>IF(K10="","",1+IF(K9&gt;K10,1,0)+IF(K11&gt;K10,1,0)+IF(K12&gt;K10,1,0)+IF(K13&gt;K10,1,0)+IF(K14&gt;K10,1,0)+IF(K15&gt;K10,1,0)+IF(K16&gt;K10,1,0)+IF(K17&gt;K10,1,0))</f>
        <v>5</v>
      </c>
    </row>
    <row r="11" spans="1:14" x14ac:dyDescent="0.25">
      <c r="A11" s="20" t="s">
        <v>38</v>
      </c>
      <c r="B11" s="2">
        <v>19</v>
      </c>
      <c r="C11" s="2">
        <v>61.6</v>
      </c>
      <c r="D11" s="2">
        <v>99.75</v>
      </c>
      <c r="E11" s="2">
        <v>0.26300000000000001</v>
      </c>
      <c r="F11" s="2">
        <v>6343.3</v>
      </c>
      <c r="G11" s="2">
        <v>98</v>
      </c>
      <c r="H11" s="2">
        <v>2.3050000000000002</v>
      </c>
      <c r="I11" s="2">
        <v>2663.489</v>
      </c>
      <c r="J11" s="2">
        <v>1000.24</v>
      </c>
      <c r="K11" s="14">
        <f>IF((IF(COUNT(B11)=1,Configuração!$E$4,0) + IF(COUNT(C11)=1,Configuração!$E$5,0) + IF(COUNT(D11)=1,Configuração!$E$6,0) + IF(COUNT(E11)=1,Configuração!$E$7,0) + IF(COUNT(F11)=1,Configuração!$E$8,0) + IF(COUNT(G11)=1,Configuração!$E$9,0) + IF(COUNT(H11)=1,Configuração!$E$10,0) + IF(COUNT(I11)=1,Configuração!$E$11,0) + IF(COUNT(J11)=1,Configuração!$E$12,0))=0,"",(IF(COUNT(B11)=1,(IF(Configuração!$C$4="Maior é melhor",IF(MAX($B$9:$B$17)=MIN($B$9:$B$17),1,(B11-MIN($B$9:$B$17))/(MAX($B$9:$B$17)-MIN($B$9:$B$17))),IF(MAX($B$9:$B$17)=MIN($B$9:$B$17),1,(MAX($B$9:$B$17)-B11)/(MAX($B$9:$B$17)-MIN($B$9:$B$17)))))*Configuração!$E$4,0) + IF(COUNT(C11)=1,(IF(Configuração!$C$5="Maior é melhor",IF(MAX($C$9:$C$17)=MIN($C$9:$C$17),1,(C11-MIN($C$9:$C$17))/(MAX($C$9:$C$17)-MIN($C$9:$C$17))),IF(MAX($C$9:$C$17)=MIN($C$9:$C$17),1,(MAX($C$9:$C$17)-C11)/(MAX($C$9:$C$17)-MIN($C$9:$C$17)))))*Configuração!$E$5,0) + IF(COUNT(D11)=1,(IF(Configuração!$C$6="Maior é melhor",IF(MAX($D$9:$D$17)=MIN($D$9:$D$17),1,(D11-MIN($D$9:$D$17))/(MAX($D$9:$D$17)-MIN($D$9:$D$17))),IF(MAX($D$9:$D$17)=MIN($D$9:$D$17),1,(MAX($D$9:$D$17)-D11)/(MAX($D$9:$D$17)-MIN($D$9:$D$17)))))*Configuração!$E$6,0) + IF(COUNT(E11)=1,(IF(Configuração!$C$7="Maior é melhor",IF(MAX($E$9:$E$17)=MIN($E$9:$E$17),1,(E11-MIN($E$9:$E$17))/(MAX($E$9:$E$17)-MIN($E$9:$E$17))),IF(MAX($E$9:$E$17)=MIN($E$9:$E$17),1,(MAX($E$9:$E$17)-E11)/(MAX($E$9:$E$17)-MIN($E$9:$E$17)))))*Configuração!$E$7,0) + IF(COUNT(F11)=1,(IF(Configuração!$C$8="Maior é melhor",IF(MAX($F$9:$F$17)=MIN($F$9:$F$17),1,(F11-MIN($F$9:$F$17))/(MAX($F$9:$F$17)-MIN($F$9:$F$17))),IF(MAX($F$9:$F$17)=MIN($F$9:$F$17),1,(MAX($F$9:$F$17)-F11)/(MAX($F$9:$F$17)-MIN($F$9:$F$17)))))*Configuração!$E$8,0) + IF(COUNT(G11)=1,(IF(Configuração!$C$9="Maior é melhor",IF(MAX($G$9:$G$17)=MIN($G$9:$G$17),1,(G11-MIN($G$9:$G$17))/(MAX($G$9:$G$17)-MIN($G$9:$G$17))),IF(MAX($G$9:$G$17)=MIN($G$9:$G$17),1,(MAX($G$9:$G$17)-G11)/(MAX($G$9:$G$17)-MIN($G$9:$G$17)))))*Configuração!$E$9,0) + IF(COUNT(H11)=1,(IF(Configuração!$C$10="Maior é melhor",IF(MAX($H$9:$H$17)=MIN($H$9:$H$17),1,(H11-MIN($H$9:$H$17))/(MAX($H$9:$H$17)-MIN($H$9:$H$17))),IF(MAX($H$9:$H$17)=MIN($H$9:$H$17),1,(MAX($H$9:$H$17)-H11)/(MAX($H$9:$H$17)-MIN($H$9:$H$17)))))*Configuração!$E$10,0) + IF(COUNT(I11)=1,(IF(Configuração!$C$11="Maior é melhor",IF(MAX($I$9:$I$17)=MIN($I$9:$I$17),1,(I11-MIN($I$9:$I$17))/(MAX($I$9:$I$17)-MIN($I$9:$I$17))),IF(MAX($I$9:$I$17)=MIN($I$9:$I$17),1,(MAX($I$9:$I$17)-I11)/(MAX($I$9:$I$17)-MIN($I$9:$I$17)))))*Configuração!$E$11,0) + IF(COUNT(J11)=1,(IF(Configuração!$C$12="Maior é melhor",IF(MAX($J$9:$J$17)=MIN($J$9:$J$17),1,(J11-MIN($J$9:$J$17))/(MAX($J$9:$J$17)-MIN($J$9:$J$17))),IF(MAX($J$9:$J$17)=MIN($J$9:$J$17),1,(MAX($J$9:$J$17)-J11)/(MAX($J$9:$J$17)-MIN($J$9:$J$17)))))*Configuração!$E$12,0))/(IF(COUNT(B11)=1,Configuração!$E$4,0) + IF(COUNT(C11)=1,Configuração!$E$5,0) + IF(COUNT(D11)=1,Configuração!$E$6,0) + IF(COUNT(E11)=1,Configuração!$E$7,0) + IF(COUNT(F11)=1,Configuração!$E$8,0) + IF(COUNT(G11)=1,Configuração!$E$9,0) + IF(COUNT(H11)=1,Configuração!$E$10,0) + IF(COUNT(I11)=1,Configuração!$E$11,0) + IF(COUNT(J11)=1,Configuração!$E$12,0)))</f>
        <v>0.47409118337193384</v>
      </c>
      <c r="L11" s="14">
        <v>1</v>
      </c>
      <c r="M11" s="56" t="s">
        <v>53</v>
      </c>
      <c r="N11" s="55">
        <f>IF(K11="","",1+IF(K9&gt;K11,1,0)+IF(K10&gt;K11,1,0)+IF(K12&gt;K11,1,0)+IF(K13&gt;K11,1,0)+IF(K14&gt;K11,1,0)+IF(K15&gt;K11,1,0)+IF(K16&gt;K11,1,0)+IF(K17&gt;K11,1,0))</f>
        <v>4</v>
      </c>
    </row>
    <row r="12" spans="1:14" x14ac:dyDescent="0.25">
      <c r="A12" s="20" t="s">
        <v>39</v>
      </c>
      <c r="B12" s="2">
        <v>7</v>
      </c>
      <c r="C12" s="2">
        <v>107</v>
      </c>
      <c r="D12" s="2">
        <v>99.05</v>
      </c>
      <c r="E12" s="2">
        <v>7.2349999999999998E-2</v>
      </c>
      <c r="F12" s="2">
        <v>5357.45</v>
      </c>
      <c r="G12" s="2">
        <v>97</v>
      </c>
      <c r="H12" s="2">
        <v>4.6935000000000002</v>
      </c>
      <c r="I12" s="2">
        <v>20586.194500000001</v>
      </c>
      <c r="J12" s="2">
        <v>20165.095000000001</v>
      </c>
      <c r="K12" s="14">
        <f>IF((IF(COUNT(B12)=1,Configuração!$E$4,0) + IF(COUNT(C12)=1,Configuração!$E$5,0) + IF(COUNT(D12)=1,Configuração!$E$6,0) + IF(COUNT(E12)=1,Configuração!$E$7,0) + IF(COUNT(F12)=1,Configuração!$E$8,0) + IF(COUNT(G12)=1,Configuração!$E$9,0) + IF(COUNT(H12)=1,Configuração!$E$10,0) + IF(COUNT(I12)=1,Configuração!$E$11,0) + IF(COUNT(J12)=1,Configuração!$E$12,0))=0,"",(IF(COUNT(B12)=1,(IF(Configuração!$C$4="Maior é melhor",IF(MAX($B$9:$B$17)=MIN($B$9:$B$17),1,(B12-MIN($B$9:$B$17))/(MAX($B$9:$B$17)-MIN($B$9:$B$17))),IF(MAX($B$9:$B$17)=MIN($B$9:$B$17),1,(MAX($B$9:$B$17)-B12)/(MAX($B$9:$B$17)-MIN($B$9:$B$17)))))*Configuração!$E$4,0) + IF(COUNT(C12)=1,(IF(Configuração!$C$5="Maior é melhor",IF(MAX($C$9:$C$17)=MIN($C$9:$C$17),1,(C12-MIN($C$9:$C$17))/(MAX($C$9:$C$17)-MIN($C$9:$C$17))),IF(MAX($C$9:$C$17)=MIN($C$9:$C$17),1,(MAX($C$9:$C$17)-C12)/(MAX($C$9:$C$17)-MIN($C$9:$C$17)))))*Configuração!$E$5,0) + IF(COUNT(D12)=1,(IF(Configuração!$C$6="Maior é melhor",IF(MAX($D$9:$D$17)=MIN($D$9:$D$17),1,(D12-MIN($D$9:$D$17))/(MAX($D$9:$D$17)-MIN($D$9:$D$17))),IF(MAX($D$9:$D$17)=MIN($D$9:$D$17),1,(MAX($D$9:$D$17)-D12)/(MAX($D$9:$D$17)-MIN($D$9:$D$17)))))*Configuração!$E$6,0) + IF(COUNT(E12)=1,(IF(Configuração!$C$7="Maior é melhor",IF(MAX($E$9:$E$17)=MIN($E$9:$E$17),1,(E12-MIN($E$9:$E$17))/(MAX($E$9:$E$17)-MIN($E$9:$E$17))),IF(MAX($E$9:$E$17)=MIN($E$9:$E$17),1,(MAX($E$9:$E$17)-E12)/(MAX($E$9:$E$17)-MIN($E$9:$E$17)))))*Configuração!$E$7,0) + IF(COUNT(F12)=1,(IF(Configuração!$C$8="Maior é melhor",IF(MAX($F$9:$F$17)=MIN($F$9:$F$17),1,(F12-MIN($F$9:$F$17))/(MAX($F$9:$F$17)-MIN($F$9:$F$17))),IF(MAX($F$9:$F$17)=MIN($F$9:$F$17),1,(MAX($F$9:$F$17)-F12)/(MAX($F$9:$F$17)-MIN($F$9:$F$17)))))*Configuração!$E$8,0) + IF(COUNT(G12)=1,(IF(Configuração!$C$9="Maior é melhor",IF(MAX($G$9:$G$17)=MIN($G$9:$G$17),1,(G12-MIN($G$9:$G$17))/(MAX($G$9:$G$17)-MIN($G$9:$G$17))),IF(MAX($G$9:$G$17)=MIN($G$9:$G$17),1,(MAX($G$9:$G$17)-G12)/(MAX($G$9:$G$17)-MIN($G$9:$G$17)))))*Configuração!$E$9,0) + IF(COUNT(H12)=1,(IF(Configuração!$C$10="Maior é melhor",IF(MAX($H$9:$H$17)=MIN($H$9:$H$17),1,(H12-MIN($H$9:$H$17))/(MAX($H$9:$H$17)-MIN($H$9:$H$17))),IF(MAX($H$9:$H$17)=MIN($H$9:$H$17),1,(MAX($H$9:$H$17)-H12)/(MAX($H$9:$H$17)-MIN($H$9:$H$17)))))*Configuração!$E$10,0) + IF(COUNT(I12)=1,(IF(Configuração!$C$11="Maior é melhor",IF(MAX($I$9:$I$17)=MIN($I$9:$I$17),1,(I12-MIN($I$9:$I$17))/(MAX($I$9:$I$17)-MIN($I$9:$I$17))),IF(MAX($I$9:$I$17)=MIN($I$9:$I$17),1,(MAX($I$9:$I$17)-I12)/(MAX($I$9:$I$17)-MIN($I$9:$I$17)))))*Configuração!$E$11,0) + IF(COUNT(J12)=1,(IF(Configuração!$C$12="Maior é melhor",IF(MAX($J$9:$J$17)=MIN($J$9:$J$17),1,(J12-MIN($J$9:$J$17))/(MAX($J$9:$J$17)-MIN($J$9:$J$17))),IF(MAX($J$9:$J$17)=MIN($J$9:$J$17),1,(MAX($J$9:$J$17)-J12)/(MAX($J$9:$J$17)-MIN($J$9:$J$17)))))*Configuração!$E$12,0))/(IF(COUNT(B12)=1,Configuração!$E$4,0) + IF(COUNT(C12)=1,Configuração!$E$5,0) + IF(COUNT(D12)=1,Configuração!$E$6,0) + IF(COUNT(E12)=1,Configuração!$E$7,0) + IF(COUNT(F12)=1,Configuração!$E$8,0) + IF(COUNT(G12)=1,Configuração!$E$9,0) + IF(COUNT(H12)=1,Configuração!$E$10,0) + IF(COUNT(I12)=1,Configuração!$E$11,0) + IF(COUNT(J12)=1,Configuração!$E$12,0)))</f>
        <v>0.31485677316936905</v>
      </c>
      <c r="L12" s="14">
        <v>1</v>
      </c>
      <c r="M12" s="56" t="s">
        <v>53</v>
      </c>
      <c r="N12" s="55">
        <f>IF(K12="","",1+IF(K9&gt;K12,1,0)+IF(K10&gt;K12,1,0)+IF(K11&gt;K12,1,0)+IF(K13&gt;K12,1,0)+IF(K14&gt;K12,1,0)+IF(K15&gt;K12,1,0)+IF(K16&gt;K12,1,0)+IF(K17&gt;K12,1,0))</f>
        <v>9</v>
      </c>
    </row>
    <row r="13" spans="1:14" x14ac:dyDescent="0.25">
      <c r="A13" s="20" t="s">
        <v>40</v>
      </c>
      <c r="B13" s="2">
        <v>30</v>
      </c>
      <c r="C13" s="2">
        <v>109.4</v>
      </c>
      <c r="D13" s="2">
        <v>90.55</v>
      </c>
      <c r="E13" s="2">
        <v>2.6166999999999998</v>
      </c>
      <c r="F13" s="2">
        <v>988.4</v>
      </c>
      <c r="G13" s="2">
        <v>82</v>
      </c>
      <c r="H13" s="2">
        <v>5.093</v>
      </c>
      <c r="I13" s="2">
        <v>84.008399999999995</v>
      </c>
      <c r="J13" s="2">
        <v>139.25366666666699</v>
      </c>
      <c r="K13" s="14">
        <f>IF((IF(COUNT(B13)=1,Configuração!$E$4,0) + IF(COUNT(C13)=1,Configuração!$E$5,0) + IF(COUNT(D13)=1,Configuração!$E$6,0) + IF(COUNT(E13)=1,Configuração!$E$7,0) + IF(COUNT(F13)=1,Configuração!$E$8,0) + IF(COUNT(G13)=1,Configuração!$E$9,0) + IF(COUNT(H13)=1,Configuração!$E$10,0) + IF(COUNT(I13)=1,Configuração!$E$11,0) + IF(COUNT(J13)=1,Configuração!$E$12,0))=0,"",(IF(COUNT(B13)=1,(IF(Configuração!$C$4="Maior é melhor",IF(MAX($B$9:$B$17)=MIN($B$9:$B$17),1,(B13-MIN($B$9:$B$17))/(MAX($B$9:$B$17)-MIN($B$9:$B$17))),IF(MAX($B$9:$B$17)=MIN($B$9:$B$17),1,(MAX($B$9:$B$17)-B13)/(MAX($B$9:$B$17)-MIN($B$9:$B$17)))))*Configuração!$E$4,0) + IF(COUNT(C13)=1,(IF(Configuração!$C$5="Maior é melhor",IF(MAX($C$9:$C$17)=MIN($C$9:$C$17),1,(C13-MIN($C$9:$C$17))/(MAX($C$9:$C$17)-MIN($C$9:$C$17))),IF(MAX($C$9:$C$17)=MIN($C$9:$C$17),1,(MAX($C$9:$C$17)-C13)/(MAX($C$9:$C$17)-MIN($C$9:$C$17)))))*Configuração!$E$5,0) + IF(COUNT(D13)=1,(IF(Configuração!$C$6="Maior é melhor",IF(MAX($D$9:$D$17)=MIN($D$9:$D$17),1,(D13-MIN($D$9:$D$17))/(MAX($D$9:$D$17)-MIN($D$9:$D$17))),IF(MAX($D$9:$D$17)=MIN($D$9:$D$17),1,(MAX($D$9:$D$17)-D13)/(MAX($D$9:$D$17)-MIN($D$9:$D$17)))))*Configuração!$E$6,0) + IF(COUNT(E13)=1,(IF(Configuração!$C$7="Maior é melhor",IF(MAX($E$9:$E$17)=MIN($E$9:$E$17),1,(E13-MIN($E$9:$E$17))/(MAX($E$9:$E$17)-MIN($E$9:$E$17))),IF(MAX($E$9:$E$17)=MIN($E$9:$E$17),1,(MAX($E$9:$E$17)-E13)/(MAX($E$9:$E$17)-MIN($E$9:$E$17)))))*Configuração!$E$7,0) + IF(COUNT(F13)=1,(IF(Configuração!$C$8="Maior é melhor",IF(MAX($F$9:$F$17)=MIN($F$9:$F$17),1,(F13-MIN($F$9:$F$17))/(MAX($F$9:$F$17)-MIN($F$9:$F$17))),IF(MAX($F$9:$F$17)=MIN($F$9:$F$17),1,(MAX($F$9:$F$17)-F13)/(MAX($F$9:$F$17)-MIN($F$9:$F$17)))))*Configuração!$E$8,0) + IF(COUNT(G13)=1,(IF(Configuração!$C$9="Maior é melhor",IF(MAX($G$9:$G$17)=MIN($G$9:$G$17),1,(G13-MIN($G$9:$G$17))/(MAX($G$9:$G$17)-MIN($G$9:$G$17))),IF(MAX($G$9:$G$17)=MIN($G$9:$G$17),1,(MAX($G$9:$G$17)-G13)/(MAX($G$9:$G$17)-MIN($G$9:$G$17)))))*Configuração!$E$9,0) + IF(COUNT(H13)=1,(IF(Configuração!$C$10="Maior é melhor",IF(MAX($H$9:$H$17)=MIN($H$9:$H$17),1,(H13-MIN($H$9:$H$17))/(MAX($H$9:$H$17)-MIN($H$9:$H$17))),IF(MAX($H$9:$H$17)=MIN($H$9:$H$17),1,(MAX($H$9:$H$17)-H13)/(MAX($H$9:$H$17)-MIN($H$9:$H$17)))))*Configuração!$E$10,0) + IF(COUNT(I13)=1,(IF(Configuração!$C$11="Maior é melhor",IF(MAX($I$9:$I$17)=MIN($I$9:$I$17),1,(I13-MIN($I$9:$I$17))/(MAX($I$9:$I$17)-MIN($I$9:$I$17))),IF(MAX($I$9:$I$17)=MIN($I$9:$I$17),1,(MAX($I$9:$I$17)-I13)/(MAX($I$9:$I$17)-MIN($I$9:$I$17)))))*Configuração!$E$11,0) + IF(COUNT(J13)=1,(IF(Configuração!$C$12="Maior é melhor",IF(MAX($J$9:$J$17)=MIN($J$9:$J$17),1,(J13-MIN($J$9:$J$17))/(MAX($J$9:$J$17)-MIN($J$9:$J$17))),IF(MAX($J$9:$J$17)=MIN($J$9:$J$17),1,(MAX($J$9:$J$17)-J13)/(MAX($J$9:$J$17)-MIN($J$9:$J$17)))))*Configuração!$E$12,0))/(IF(COUNT(B13)=1,Configuração!$E$4,0) + IF(COUNT(C13)=1,Configuração!$E$5,0) + IF(COUNT(D13)=1,Configuração!$E$6,0) + IF(COUNT(E13)=1,Configuração!$E$7,0) + IF(COUNT(F13)=1,Configuração!$E$8,0) + IF(COUNT(G13)=1,Configuração!$E$9,0) + IF(COUNT(H13)=1,Configuração!$E$10,0) + IF(COUNT(I13)=1,Configuração!$E$11,0) + IF(COUNT(J13)=1,Configuração!$E$12,0)))</f>
        <v>0.49569513390100067</v>
      </c>
      <c r="L13" s="14">
        <v>1</v>
      </c>
      <c r="M13" s="56" t="s">
        <v>53</v>
      </c>
      <c r="N13" s="55">
        <f>IF(K13="","",1+IF(K9&gt;K13,1,0)+IF(K10&gt;K13,1,0)+IF(K11&gt;K13,1,0)+IF(K12&gt;K13,1,0)+IF(K14&gt;K13,1,0)+IF(K15&gt;K13,1,0)+IF(K16&gt;K13,1,0)+IF(K17&gt;K13,1,0))</f>
        <v>3</v>
      </c>
    </row>
    <row r="14" spans="1:14" x14ac:dyDescent="0.25">
      <c r="A14" s="20" t="s">
        <v>41</v>
      </c>
      <c r="B14" s="2">
        <v>17.434999999999999</v>
      </c>
      <c r="C14" s="2">
        <v>304.7</v>
      </c>
      <c r="D14" s="2">
        <v>97.84</v>
      </c>
      <c r="E14" s="2">
        <v>4.7100000000000003E-2</v>
      </c>
      <c r="F14" s="2">
        <v>7226.4</v>
      </c>
      <c r="G14" s="2">
        <v>99</v>
      </c>
      <c r="H14" s="2">
        <v>1.3580000000000001</v>
      </c>
      <c r="I14" s="2">
        <v>1980.325</v>
      </c>
      <c r="J14" s="2">
        <v>444.91199999999998</v>
      </c>
      <c r="K14" s="14">
        <f>IF((IF(COUNT(B14)=1,Configuração!$E$4,0) + IF(COUNT(C14)=1,Configuração!$E$5,0) + IF(COUNT(D14)=1,Configuração!$E$6,0) + IF(COUNT(E14)=1,Configuração!$E$7,0) + IF(COUNT(F14)=1,Configuração!$E$8,0) + IF(COUNT(G14)=1,Configuração!$E$9,0) + IF(COUNT(H14)=1,Configuração!$E$10,0) + IF(COUNT(I14)=1,Configuração!$E$11,0) + IF(COUNT(J14)=1,Configuração!$E$12,0))=0,"",(IF(COUNT(B14)=1,(IF(Configuração!$C$4="Maior é melhor",IF(MAX($B$9:$B$17)=MIN($B$9:$B$17),1,(B14-MIN($B$9:$B$17))/(MAX($B$9:$B$17)-MIN($B$9:$B$17))),IF(MAX($B$9:$B$17)=MIN($B$9:$B$17),1,(MAX($B$9:$B$17)-B14)/(MAX($B$9:$B$17)-MIN($B$9:$B$17)))))*Configuração!$E$4,0) + IF(COUNT(C14)=1,(IF(Configuração!$C$5="Maior é melhor",IF(MAX($C$9:$C$17)=MIN($C$9:$C$17),1,(C14-MIN($C$9:$C$17))/(MAX($C$9:$C$17)-MIN($C$9:$C$17))),IF(MAX($C$9:$C$17)=MIN($C$9:$C$17),1,(MAX($C$9:$C$17)-C14)/(MAX($C$9:$C$17)-MIN($C$9:$C$17)))))*Configuração!$E$5,0) + IF(COUNT(D14)=1,(IF(Configuração!$C$6="Maior é melhor",IF(MAX($D$9:$D$17)=MIN($D$9:$D$17),1,(D14-MIN($D$9:$D$17))/(MAX($D$9:$D$17)-MIN($D$9:$D$17))),IF(MAX($D$9:$D$17)=MIN($D$9:$D$17),1,(MAX($D$9:$D$17)-D14)/(MAX($D$9:$D$17)-MIN($D$9:$D$17)))))*Configuração!$E$6,0) + IF(COUNT(E14)=1,(IF(Configuração!$C$7="Maior é melhor",IF(MAX($E$9:$E$17)=MIN($E$9:$E$17),1,(E14-MIN($E$9:$E$17))/(MAX($E$9:$E$17)-MIN($E$9:$E$17))),IF(MAX($E$9:$E$17)=MIN($E$9:$E$17),1,(MAX($E$9:$E$17)-E14)/(MAX($E$9:$E$17)-MIN($E$9:$E$17)))))*Configuração!$E$7,0) + IF(COUNT(F14)=1,(IF(Configuração!$C$8="Maior é melhor",IF(MAX($F$9:$F$17)=MIN($F$9:$F$17),1,(F14-MIN($F$9:$F$17))/(MAX($F$9:$F$17)-MIN($F$9:$F$17))),IF(MAX($F$9:$F$17)=MIN($F$9:$F$17),1,(MAX($F$9:$F$17)-F14)/(MAX($F$9:$F$17)-MIN($F$9:$F$17)))))*Configuração!$E$8,0) + IF(COUNT(G14)=1,(IF(Configuração!$C$9="Maior é melhor",IF(MAX($G$9:$G$17)=MIN($G$9:$G$17),1,(G14-MIN($G$9:$G$17))/(MAX($G$9:$G$17)-MIN($G$9:$G$17))),IF(MAX($G$9:$G$17)=MIN($G$9:$G$17),1,(MAX($G$9:$G$17)-G14)/(MAX($G$9:$G$17)-MIN($G$9:$G$17)))))*Configuração!$E$9,0) + IF(COUNT(H14)=1,(IF(Configuração!$C$10="Maior é melhor",IF(MAX($H$9:$H$17)=MIN($H$9:$H$17),1,(H14-MIN($H$9:$H$17))/(MAX($H$9:$H$17)-MIN($H$9:$H$17))),IF(MAX($H$9:$H$17)=MIN($H$9:$H$17),1,(MAX($H$9:$H$17)-H14)/(MAX($H$9:$H$17)-MIN($H$9:$H$17)))))*Configuração!$E$10,0) + IF(COUNT(I14)=1,(IF(Configuração!$C$11="Maior é melhor",IF(MAX($I$9:$I$17)=MIN($I$9:$I$17),1,(I14-MIN($I$9:$I$17))/(MAX($I$9:$I$17)-MIN($I$9:$I$17))),IF(MAX($I$9:$I$17)=MIN($I$9:$I$17),1,(MAX($I$9:$I$17)-I14)/(MAX($I$9:$I$17)-MIN($I$9:$I$17)))))*Configuração!$E$11,0) + IF(COUNT(J14)=1,(IF(Configuração!$C$12="Maior é melhor",IF(MAX($J$9:$J$17)=MIN($J$9:$J$17),1,(J14-MIN($J$9:$J$17))/(MAX($J$9:$J$17)-MIN($J$9:$J$17))),IF(MAX($J$9:$J$17)=MIN($J$9:$J$17),1,(MAX($J$9:$J$17)-J14)/(MAX($J$9:$J$17)-MIN($J$9:$J$17)))))*Configuração!$E$12,0))/(IF(COUNT(B14)=1,Configuração!$E$4,0) + IF(COUNT(C14)=1,Configuração!$E$5,0) + IF(COUNT(D14)=1,Configuração!$E$6,0) + IF(COUNT(E14)=1,Configuração!$E$7,0) + IF(COUNT(F14)=1,Configuração!$E$8,0) + IF(COUNT(G14)=1,Configuração!$E$9,0) + IF(COUNT(H14)=1,Configuração!$E$10,0) + IF(COUNT(I14)=1,Configuração!$E$11,0) + IF(COUNT(J14)=1,Configuração!$E$12,0)))</f>
        <v>0.62591242243036516</v>
      </c>
      <c r="L14" s="14">
        <v>1</v>
      </c>
      <c r="M14" s="56" t="s">
        <v>53</v>
      </c>
      <c r="N14" s="55">
        <f>IF(K14="","",1+IF(K9&gt;K14,1,0)+IF(K10&gt;K14,1,0)+IF(K11&gt;K14,1,0)+IF(K12&gt;K14,1,0)+IF(K13&gt;K14,1,0)+IF(K15&gt;K14,1,0)+IF(K16&gt;K14,1,0)+IF(K17&gt;K14,1,0))</f>
        <v>2</v>
      </c>
    </row>
    <row r="15" spans="1:14" x14ac:dyDescent="0.25">
      <c r="A15" s="20" t="s">
        <v>42</v>
      </c>
      <c r="B15" s="2">
        <v>18</v>
      </c>
      <c r="C15" s="2" t="s">
        <v>54</v>
      </c>
      <c r="D15" s="2">
        <v>99.86</v>
      </c>
      <c r="E15" s="2">
        <v>0.69499999999999995</v>
      </c>
      <c r="F15" s="2">
        <v>1797</v>
      </c>
      <c r="G15" s="2">
        <v>95</v>
      </c>
      <c r="H15" s="2">
        <v>6.1619999999999999</v>
      </c>
      <c r="I15" s="2">
        <v>12528.971</v>
      </c>
      <c r="J15" s="2">
        <v>8648.2800000000007</v>
      </c>
      <c r="K15" s="14">
        <f>IF((IF(COUNT(B15)=1,Configuração!$E$4,0) + IF(COUNT(C15)=1,Configuração!$E$5,0) + IF(COUNT(D15)=1,Configuração!$E$6,0) + IF(COUNT(E15)=1,Configuração!$E$7,0) + IF(COUNT(F15)=1,Configuração!$E$8,0) + IF(COUNT(G15)=1,Configuração!$E$9,0) + IF(COUNT(H15)=1,Configuração!$E$10,0) + IF(COUNT(I15)=1,Configuração!$E$11,0) + IF(COUNT(J15)=1,Configuração!$E$12,0))=0,"",(IF(COUNT(B15)=1,(IF(Configuração!$C$4="Maior é melhor",IF(MAX($B$9:$B$17)=MIN($B$9:$B$17),1,(B15-MIN($B$9:$B$17))/(MAX($B$9:$B$17)-MIN($B$9:$B$17))),IF(MAX($B$9:$B$17)=MIN($B$9:$B$17),1,(MAX($B$9:$B$17)-B15)/(MAX($B$9:$B$17)-MIN($B$9:$B$17)))))*Configuração!$E$4,0) + IF(COUNT(C15)=1,(IF(Configuração!$C$5="Maior é melhor",IF(MAX($C$9:$C$17)=MIN($C$9:$C$17),1,(C15-MIN($C$9:$C$17))/(MAX($C$9:$C$17)-MIN($C$9:$C$17))),IF(MAX($C$9:$C$17)=MIN($C$9:$C$17),1,(MAX($C$9:$C$17)-C15)/(MAX($C$9:$C$17)-MIN($C$9:$C$17)))))*Configuração!$E$5,0) + IF(COUNT(D15)=1,(IF(Configuração!$C$6="Maior é melhor",IF(MAX($D$9:$D$17)=MIN($D$9:$D$17),1,(D15-MIN($D$9:$D$17))/(MAX($D$9:$D$17)-MIN($D$9:$D$17))),IF(MAX($D$9:$D$17)=MIN($D$9:$D$17),1,(MAX($D$9:$D$17)-D15)/(MAX($D$9:$D$17)-MIN($D$9:$D$17)))))*Configuração!$E$6,0) + IF(COUNT(E15)=1,(IF(Configuração!$C$7="Maior é melhor",IF(MAX($E$9:$E$17)=MIN($E$9:$E$17),1,(E15-MIN($E$9:$E$17))/(MAX($E$9:$E$17)-MIN($E$9:$E$17))),IF(MAX($E$9:$E$17)=MIN($E$9:$E$17),1,(MAX($E$9:$E$17)-E15)/(MAX($E$9:$E$17)-MIN($E$9:$E$17)))))*Configuração!$E$7,0) + IF(COUNT(F15)=1,(IF(Configuração!$C$8="Maior é melhor",IF(MAX($F$9:$F$17)=MIN($F$9:$F$17),1,(F15-MIN($F$9:$F$17))/(MAX($F$9:$F$17)-MIN($F$9:$F$17))),IF(MAX($F$9:$F$17)=MIN($F$9:$F$17),1,(MAX($F$9:$F$17)-F15)/(MAX($F$9:$F$17)-MIN($F$9:$F$17)))))*Configuração!$E$8,0) + IF(COUNT(G15)=1,(IF(Configuração!$C$9="Maior é melhor",IF(MAX($G$9:$G$17)=MIN($G$9:$G$17),1,(G15-MIN($G$9:$G$17))/(MAX($G$9:$G$17)-MIN($G$9:$G$17))),IF(MAX($G$9:$G$17)=MIN($G$9:$G$17),1,(MAX($G$9:$G$17)-G15)/(MAX($G$9:$G$17)-MIN($G$9:$G$17)))))*Configuração!$E$9,0) + IF(COUNT(H15)=1,(IF(Configuração!$C$10="Maior é melhor",IF(MAX($H$9:$H$17)=MIN($H$9:$H$17),1,(H15-MIN($H$9:$H$17))/(MAX($H$9:$H$17)-MIN($H$9:$H$17))),IF(MAX($H$9:$H$17)=MIN($H$9:$H$17),1,(MAX($H$9:$H$17)-H15)/(MAX($H$9:$H$17)-MIN($H$9:$H$17)))))*Configuração!$E$10,0) + IF(COUNT(I15)=1,(IF(Configuração!$C$11="Maior é melhor",IF(MAX($I$9:$I$17)=MIN($I$9:$I$17),1,(I15-MIN($I$9:$I$17))/(MAX($I$9:$I$17)-MIN($I$9:$I$17))),IF(MAX($I$9:$I$17)=MIN($I$9:$I$17),1,(MAX($I$9:$I$17)-I15)/(MAX($I$9:$I$17)-MIN($I$9:$I$17)))))*Configuração!$E$11,0) + IF(COUNT(J15)=1,(IF(Configuração!$C$12="Maior é melhor",IF(MAX($J$9:$J$17)=MIN($J$9:$J$17),1,(J15-MIN($J$9:$J$17))/(MAX($J$9:$J$17)-MIN($J$9:$J$17))),IF(MAX($J$9:$J$17)=MIN($J$9:$J$17),1,(MAX($J$9:$J$17)-J15)/(MAX($J$9:$J$17)-MIN($J$9:$J$17)))))*Configuração!$E$12,0))/(IF(COUNT(B15)=1,Configuração!$E$4,0) + IF(COUNT(C15)=1,Configuração!$E$5,0) + IF(COUNT(D15)=1,Configuração!$E$6,0) + IF(COUNT(E15)=1,Configuração!$E$7,0) + IF(COUNT(F15)=1,Configuração!$E$8,0) + IF(COUNT(G15)=1,Configuração!$E$9,0) + IF(COUNT(H15)=1,Configuração!$E$10,0) + IF(COUNT(I15)=1,Configuração!$E$11,0) + IF(COUNT(J15)=1,Configuração!$E$12,0)))</f>
        <v>0.39840421540161353</v>
      </c>
      <c r="L15" s="14">
        <v>0.88900000000000001</v>
      </c>
      <c r="M15" s="56" t="s">
        <v>72</v>
      </c>
      <c r="N15" s="55">
        <f>IF(K15="","",1+IF(K9&gt;K15,1,0)+IF(K10&gt;K15,1,0)+IF(K11&gt;K15,1,0)+IF(K12&gt;K15,1,0)+IF(K13&gt;K15,1,0)+IF(K14&gt;K15,1,0)+IF(K16&gt;K15,1,0)+IF(K17&gt;K15,1,0))</f>
        <v>6</v>
      </c>
    </row>
    <row r="16" spans="1:14" x14ac:dyDescent="0.25">
      <c r="A16" s="20" t="s">
        <v>43</v>
      </c>
      <c r="B16" s="2">
        <v>4</v>
      </c>
      <c r="C16" s="2">
        <v>65.599999999999994</v>
      </c>
      <c r="D16" s="2">
        <v>111.88</v>
      </c>
      <c r="E16" s="2">
        <v>5.1999999999999998E-2</v>
      </c>
      <c r="F16" s="2">
        <v>8081.4</v>
      </c>
      <c r="G16" s="2">
        <v>96</v>
      </c>
      <c r="H16" s="2">
        <v>0.41799999999999998</v>
      </c>
      <c r="I16" s="2">
        <v>2857921.09</v>
      </c>
      <c r="J16" s="2">
        <v>2759.74</v>
      </c>
      <c r="K16" s="14">
        <f>IF((IF(COUNT(B16)=1,Configuração!$E$4,0) + IF(COUNT(C16)=1,Configuração!$E$5,0) + IF(COUNT(D16)=1,Configuração!$E$6,0) + IF(COUNT(E16)=1,Configuração!$E$7,0) + IF(COUNT(F16)=1,Configuração!$E$8,0) + IF(COUNT(G16)=1,Configuração!$E$9,0) + IF(COUNT(H16)=1,Configuração!$E$10,0) + IF(COUNT(I16)=1,Configuração!$E$11,0) + IF(COUNT(J16)=1,Configuração!$E$12,0))=0,"",(IF(COUNT(B16)=1,(IF(Configuração!$C$4="Maior é melhor",IF(MAX($B$9:$B$17)=MIN($B$9:$B$17),1,(B16-MIN($B$9:$B$17))/(MAX($B$9:$B$17)-MIN($B$9:$B$17))),IF(MAX($B$9:$B$17)=MIN($B$9:$B$17),1,(MAX($B$9:$B$17)-B16)/(MAX($B$9:$B$17)-MIN($B$9:$B$17)))))*Configuração!$E$4,0) + IF(COUNT(C16)=1,(IF(Configuração!$C$5="Maior é melhor",IF(MAX($C$9:$C$17)=MIN($C$9:$C$17),1,(C16-MIN($C$9:$C$17))/(MAX($C$9:$C$17)-MIN($C$9:$C$17))),IF(MAX($C$9:$C$17)=MIN($C$9:$C$17),1,(MAX($C$9:$C$17)-C16)/(MAX($C$9:$C$17)-MIN($C$9:$C$17)))))*Configuração!$E$5,0) + IF(COUNT(D16)=1,(IF(Configuração!$C$6="Maior é melhor",IF(MAX($D$9:$D$17)=MIN($D$9:$D$17),1,(D16-MIN($D$9:$D$17))/(MAX($D$9:$D$17)-MIN($D$9:$D$17))),IF(MAX($D$9:$D$17)=MIN($D$9:$D$17),1,(MAX($D$9:$D$17)-D16)/(MAX($D$9:$D$17)-MIN($D$9:$D$17)))))*Configuração!$E$6,0) + IF(COUNT(E16)=1,(IF(Configuração!$C$7="Maior é melhor",IF(MAX($E$9:$E$17)=MIN($E$9:$E$17),1,(E16-MIN($E$9:$E$17))/(MAX($E$9:$E$17)-MIN($E$9:$E$17))),IF(MAX($E$9:$E$17)=MIN($E$9:$E$17),1,(MAX($E$9:$E$17)-E16)/(MAX($E$9:$E$17)-MIN($E$9:$E$17)))))*Configuração!$E$7,0) + IF(COUNT(F16)=1,(IF(Configuração!$C$8="Maior é melhor",IF(MAX($F$9:$F$17)=MIN($F$9:$F$17),1,(F16-MIN($F$9:$F$17))/(MAX($F$9:$F$17)-MIN($F$9:$F$17))),IF(MAX($F$9:$F$17)=MIN($F$9:$F$17),1,(MAX($F$9:$F$17)-F16)/(MAX($F$9:$F$17)-MIN($F$9:$F$17)))))*Configuração!$E$8,0) + IF(COUNT(G16)=1,(IF(Configuração!$C$9="Maior é melhor",IF(MAX($G$9:$G$17)=MIN($G$9:$G$17),1,(G16-MIN($G$9:$G$17))/(MAX($G$9:$G$17)-MIN($G$9:$G$17))),IF(MAX($G$9:$G$17)=MIN($G$9:$G$17),1,(MAX($G$9:$G$17)-G16)/(MAX($G$9:$G$17)-MIN($G$9:$G$17)))))*Configuração!$E$9,0) + IF(COUNT(H16)=1,(IF(Configuração!$C$10="Maior é melhor",IF(MAX($H$9:$H$17)=MIN($H$9:$H$17),1,(H16-MIN($H$9:$H$17))/(MAX($H$9:$H$17)-MIN($H$9:$H$17))),IF(MAX($H$9:$H$17)=MIN($H$9:$H$17),1,(MAX($H$9:$H$17)-H16)/(MAX($H$9:$H$17)-MIN($H$9:$H$17)))))*Configuração!$E$10,0) + IF(COUNT(I16)=1,(IF(Configuração!$C$11="Maior é melhor",IF(MAX($I$9:$I$17)=MIN($I$9:$I$17),1,(I16-MIN($I$9:$I$17))/(MAX($I$9:$I$17)-MIN($I$9:$I$17))),IF(MAX($I$9:$I$17)=MIN($I$9:$I$17),1,(MAX($I$9:$I$17)-I16)/(MAX($I$9:$I$17)-MIN($I$9:$I$17)))))*Configuração!$E$11,0) + IF(COUNT(J16)=1,(IF(Configuração!$C$12="Maior é melhor",IF(MAX($J$9:$J$17)=MIN($J$9:$J$17),1,(J16-MIN($J$9:$J$17))/(MAX($J$9:$J$17)-MIN($J$9:$J$17))),IF(MAX($J$9:$J$17)=MIN($J$9:$J$17),1,(MAX($J$9:$J$17)-J16)/(MAX($J$9:$J$17)-MIN($J$9:$J$17)))))*Configuração!$E$12,0))/(IF(COUNT(B16)=1,Configuração!$E$4,0) + IF(COUNT(C16)=1,Configuração!$E$5,0) + IF(COUNT(D16)=1,Configuração!$E$6,0) + IF(COUNT(E16)=1,Configuração!$E$7,0) + IF(COUNT(F16)=1,Configuração!$E$8,0) + IF(COUNT(G16)=1,Configuração!$E$9,0) + IF(COUNT(H16)=1,Configuração!$E$10,0) + IF(COUNT(I16)=1,Configuração!$E$11,0) + IF(COUNT(J16)=1,Configuração!$E$12,0)))</f>
        <v>0.38110582618232303</v>
      </c>
      <c r="L16" s="14">
        <v>1</v>
      </c>
      <c r="M16" s="56" t="s">
        <v>53</v>
      </c>
      <c r="N16" s="55">
        <f>IF(K16="","",1+IF(K9&gt;K16,1,0)+IF(K10&gt;K16,1,0)+IF(K11&gt;K16,1,0)+IF(K12&gt;K16,1,0)+IF(K13&gt;K16,1,0)+IF(K14&gt;K16,1,0)+IF(K15&gt;K16,1,0)+IF(K17&gt;K16,1,0))</f>
        <v>7</v>
      </c>
    </row>
    <row r="17" spans="1:14" x14ac:dyDescent="0.25">
      <c r="A17" s="20" t="s">
        <v>44</v>
      </c>
      <c r="B17" s="2">
        <v>38.979999999999997</v>
      </c>
      <c r="C17" s="2">
        <v>134.30000000000001</v>
      </c>
      <c r="D17" s="2">
        <v>99.16</v>
      </c>
      <c r="E17" s="2">
        <v>0.378</v>
      </c>
      <c r="F17" s="2">
        <v>5259.5</v>
      </c>
      <c r="G17" s="2">
        <v>97</v>
      </c>
      <c r="H17" s="2">
        <v>1.4855</v>
      </c>
      <c r="I17" s="2">
        <v>2080.61</v>
      </c>
      <c r="J17" s="2">
        <v>384.27949999999998</v>
      </c>
      <c r="K17" s="14">
        <f>IF((IF(COUNT(B17)=1,Configuração!$E$4,0) + IF(COUNT(C17)=1,Configuração!$E$5,0) + IF(COUNT(D17)=1,Configuração!$E$6,0) + IF(COUNT(E17)=1,Configuração!$E$7,0) + IF(COUNT(F17)=1,Configuração!$E$8,0) + IF(COUNT(G17)=1,Configuração!$E$9,0) + IF(COUNT(H17)=1,Configuração!$E$10,0) + IF(COUNT(I17)=1,Configuração!$E$11,0) + IF(COUNT(J17)=1,Configuração!$E$12,0))=0,"",(IF(COUNT(B17)=1,(IF(Configuração!$C$4="Maior é melhor",IF(MAX($B$9:$B$17)=MIN($B$9:$B$17),1,(B17-MIN($B$9:$B$17))/(MAX($B$9:$B$17)-MIN($B$9:$B$17))),IF(MAX($B$9:$B$17)=MIN($B$9:$B$17),1,(MAX($B$9:$B$17)-B17)/(MAX($B$9:$B$17)-MIN($B$9:$B$17)))))*Configuração!$E$4,0) + IF(COUNT(C17)=1,(IF(Configuração!$C$5="Maior é melhor",IF(MAX($C$9:$C$17)=MIN($C$9:$C$17),1,(C17-MIN($C$9:$C$17))/(MAX($C$9:$C$17)-MIN($C$9:$C$17))),IF(MAX($C$9:$C$17)=MIN($C$9:$C$17),1,(MAX($C$9:$C$17)-C17)/(MAX($C$9:$C$17)-MIN($C$9:$C$17)))))*Configuração!$E$5,0) + IF(COUNT(D17)=1,(IF(Configuração!$C$6="Maior é melhor",IF(MAX($D$9:$D$17)=MIN($D$9:$D$17),1,(D17-MIN($D$9:$D$17))/(MAX($D$9:$D$17)-MIN($D$9:$D$17))),IF(MAX($D$9:$D$17)=MIN($D$9:$D$17),1,(MAX($D$9:$D$17)-D17)/(MAX($D$9:$D$17)-MIN($D$9:$D$17)))))*Configuração!$E$6,0) + IF(COUNT(E17)=1,(IF(Configuração!$C$7="Maior é melhor",IF(MAX($E$9:$E$17)=MIN($E$9:$E$17),1,(E17-MIN($E$9:$E$17))/(MAX($E$9:$E$17)-MIN($E$9:$E$17))),IF(MAX($E$9:$E$17)=MIN($E$9:$E$17),1,(MAX($E$9:$E$17)-E17)/(MAX($E$9:$E$17)-MIN($E$9:$E$17)))))*Configuração!$E$7,0) + IF(COUNT(F17)=1,(IF(Configuração!$C$8="Maior é melhor",IF(MAX($F$9:$F$17)=MIN($F$9:$F$17),1,(F17-MIN($F$9:$F$17))/(MAX($F$9:$F$17)-MIN($F$9:$F$17))),IF(MAX($F$9:$F$17)=MIN($F$9:$F$17),1,(MAX($F$9:$F$17)-F17)/(MAX($F$9:$F$17)-MIN($F$9:$F$17)))))*Configuração!$E$8,0) + IF(COUNT(G17)=1,(IF(Configuração!$C$9="Maior é melhor",IF(MAX($G$9:$G$17)=MIN($G$9:$G$17),1,(G17-MIN($G$9:$G$17))/(MAX($G$9:$G$17)-MIN($G$9:$G$17))),IF(MAX($G$9:$G$17)=MIN($G$9:$G$17),1,(MAX($G$9:$G$17)-G17)/(MAX($G$9:$G$17)-MIN($G$9:$G$17)))))*Configuração!$E$9,0) + IF(COUNT(H17)=1,(IF(Configuração!$C$10="Maior é melhor",IF(MAX($H$9:$H$17)=MIN($H$9:$H$17),1,(H17-MIN($H$9:$H$17))/(MAX($H$9:$H$17)-MIN($H$9:$H$17))),IF(MAX($H$9:$H$17)=MIN($H$9:$H$17),1,(MAX($H$9:$H$17)-H17)/(MAX($H$9:$H$17)-MIN($H$9:$H$17)))))*Configuração!$E$10,0) + IF(COUNT(I17)=1,(IF(Configuração!$C$11="Maior é melhor",IF(MAX($I$9:$I$17)=MIN($I$9:$I$17),1,(I17-MIN($I$9:$I$17))/(MAX($I$9:$I$17)-MIN($I$9:$I$17))),IF(MAX($I$9:$I$17)=MIN($I$9:$I$17),1,(MAX($I$9:$I$17)-I17)/(MAX($I$9:$I$17)-MIN($I$9:$I$17)))))*Configuração!$E$11,0) + IF(COUNT(J17)=1,(IF(Configuração!$C$12="Maior é melhor",IF(MAX($J$9:$J$17)=MIN($J$9:$J$17),1,(J17-MIN($J$9:$J$17))/(MAX($J$9:$J$17)-MIN($J$9:$J$17))),IF(MAX($J$9:$J$17)=MIN($J$9:$J$17),1,(MAX($J$9:$J$17)-J17)/(MAX($J$9:$J$17)-MIN($J$9:$J$17)))))*Configuração!$E$12,0))/(IF(COUNT(B17)=1,Configuração!$E$4,0) + IF(COUNT(C17)=1,Configuração!$E$5,0) + IF(COUNT(D17)=1,Configuração!$E$6,0) + IF(COUNT(E17)=1,Configuração!$E$7,0) + IF(COUNT(F17)=1,Configuração!$E$8,0) + IF(COUNT(G17)=1,Configuração!$E$9,0) + IF(COUNT(H17)=1,Configuração!$E$10,0) + IF(COUNT(I17)=1,Configuração!$E$11,0) + IF(COUNT(J17)=1,Configuração!$E$12,0)))</f>
        <v>0.63400583627684648</v>
      </c>
      <c r="L17" s="14">
        <v>1</v>
      </c>
      <c r="M17" s="56" t="s">
        <v>53</v>
      </c>
      <c r="N17" s="55">
        <f>IF(K17="","",1+IF(K9&gt;K17,1,0)+IF(K10&gt;K17,1,0)+IF(K11&gt;K17,1,0)+IF(K12&gt;K17,1,0)+IF(K13&gt;K17,1,0)+IF(K14&gt;K17,1,0)+IF(K15&gt;K17,1,0)+IF(K16&gt;K17,1,0))</f>
        <v>1</v>
      </c>
    </row>
    <row r="18" spans="1:14" x14ac:dyDescent="0.25">
      <c r="A18" s="21"/>
      <c r="B18" s="16"/>
      <c r="C18" s="16"/>
      <c r="D18" s="16"/>
      <c r="E18" s="16"/>
      <c r="F18" s="16"/>
      <c r="G18" s="16"/>
      <c r="H18" s="16"/>
      <c r="I18" s="16"/>
      <c r="J18" s="16"/>
      <c r="K18" s="17"/>
      <c r="L18" s="18"/>
    </row>
    <row r="21" spans="1:14" x14ac:dyDescent="0.25">
      <c r="A21" s="23" t="s">
        <v>55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56"/>
      <c r="N21" s="56"/>
    </row>
    <row r="22" spans="1:14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56"/>
      <c r="N22" s="56"/>
    </row>
    <row r="23" spans="1:14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56"/>
      <c r="N23" s="56"/>
    </row>
  </sheetData>
  <mergeCells count="8">
    <mergeCell ref="A21:L23"/>
    <mergeCell ref="A1:L1"/>
    <mergeCell ref="A3:B3"/>
    <mergeCell ref="A4:B5"/>
    <mergeCell ref="C3:D3"/>
    <mergeCell ref="C4:D5"/>
    <mergeCell ref="E3:F3"/>
    <mergeCell ref="E4:F5"/>
  </mergeCells>
  <conditionalFormatting sqref="B9:J18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K9:K17">
    <cfRule type="dataBar" priority="4">
      <dataBar>
        <cfvo type="min"/>
        <cfvo type="max"/>
        <color rgb="FF2563EB"/>
      </dataBar>
    </cfRule>
    <cfRule type="dataBar" priority="7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{5699C62D-2AE4-E9B5-B649-167E572B8963}</x14:id>
        </ext>
      </extLst>
    </cfRule>
  </conditionalFormatting>
  <conditionalFormatting sqref="K9:K18">
    <cfRule type="dataBar" priority="2">
      <dataBar>
        <cfvo type="min"/>
        <cfvo type="max"/>
        <color rgb="FF2563EB"/>
      </dataBar>
    </cfRule>
    <cfRule type="dataBar" priority="3">
      <dataBar>
        <cfvo type="min"/>
        <cfvo type="max"/>
        <color rgb="FF2563EB"/>
      </dataBar>
    </cfRule>
    <cfRule type="dataBar" priority="6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{6D1C1584-8D7E-21EE-86BC-92237EE085B9}</x14:id>
        </ext>
      </extLst>
    </cfRule>
  </conditionalFormatting>
  <conditionalFormatting sqref="L9:L17">
    <cfRule type="colorScale" priority="5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99C62D-2AE4-E9B5-B649-167E572B8963}">
            <x14:dataBar>
              <x14:cfvo type="min"/>
              <x14:cfvo type="max"/>
              <x14:negativeFillColor auto="1"/>
              <x14:axisColor auto="1"/>
            </x14:dataBar>
          </x14:cfRule>
          <xm:sqref>K9:K17</xm:sqref>
        </x14:conditionalFormatting>
        <x14:conditionalFormatting xmlns:xm="http://schemas.microsoft.com/office/excel/2006/main">
          <x14:cfRule type="dataBar" id="{6D1C1584-8D7E-21EE-86BC-92237EE085B9}">
            <x14:dataBar>
              <x14:cfvo type="min"/>
              <x14:cfvo type="max"/>
              <x14:negativeFillColor auto="1"/>
              <x14:axisColor auto="1"/>
            </x14:dataBar>
          </x14:cfRule>
          <xm:sqref>K9:K18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H19"/>
  <sheetViews>
    <sheetView workbookViewId="0">
      <selection sqref="A1:H1"/>
    </sheetView>
  </sheetViews>
  <sheetFormatPr defaultRowHeight="15" x14ac:dyDescent="0.25"/>
  <cols>
    <col min="1" max="1" width="110" customWidth="1"/>
    <col min="2" max="7" width="15" customWidth="1"/>
    <col min="8" max="8" width="89.375" customWidth="1"/>
  </cols>
  <sheetData>
    <row r="1" spans="1:8" ht="21" x14ac:dyDescent="0.35">
      <c r="A1" s="47" t="s">
        <v>56</v>
      </c>
      <c r="B1" s="48"/>
      <c r="C1" s="48"/>
      <c r="D1" s="48"/>
      <c r="E1" s="48"/>
      <c r="F1" s="48"/>
      <c r="G1" s="48"/>
      <c r="H1" s="48"/>
    </row>
    <row r="2" spans="1:8" x14ac:dyDescent="0.25">
      <c r="A2" s="22"/>
    </row>
    <row r="3" spans="1:8" x14ac:dyDescent="0.25">
      <c r="A3" s="49" t="s">
        <v>57</v>
      </c>
      <c r="B3" s="50"/>
      <c r="C3" s="50"/>
      <c r="D3" s="50"/>
      <c r="E3" s="50"/>
      <c r="F3" s="50"/>
      <c r="G3" s="50"/>
      <c r="H3" s="50"/>
    </row>
    <row r="4" spans="1:8" x14ac:dyDescent="0.25">
      <c r="A4" s="44" t="s">
        <v>58</v>
      </c>
      <c r="B4" s="45"/>
      <c r="C4" s="45"/>
      <c r="D4" s="45"/>
      <c r="E4" s="45"/>
      <c r="F4" s="45"/>
      <c r="G4" s="45"/>
      <c r="H4" s="45"/>
    </row>
    <row r="5" spans="1:8" x14ac:dyDescent="0.25">
      <c r="A5" s="44"/>
      <c r="B5" s="45"/>
      <c r="C5" s="45"/>
      <c r="D5" s="45"/>
      <c r="E5" s="45"/>
      <c r="F5" s="45"/>
      <c r="G5" s="45"/>
      <c r="H5" s="45"/>
    </row>
    <row r="6" spans="1:8" x14ac:dyDescent="0.25">
      <c r="A6" s="22" t="s">
        <v>59</v>
      </c>
    </row>
    <row r="7" spans="1:8" x14ac:dyDescent="0.25">
      <c r="A7" s="51" t="s">
        <v>60</v>
      </c>
      <c r="B7" s="52"/>
      <c r="C7" s="52"/>
      <c r="D7" s="52"/>
      <c r="E7" s="52"/>
      <c r="F7" s="52"/>
      <c r="G7" s="52"/>
      <c r="H7" s="52"/>
    </row>
    <row r="8" spans="1:8" x14ac:dyDescent="0.25">
      <c r="A8" s="44"/>
      <c r="B8" s="45"/>
      <c r="C8" s="45"/>
      <c r="D8" s="45"/>
      <c r="E8" s="45"/>
      <c r="F8" s="45"/>
      <c r="G8" s="45"/>
      <c r="H8" s="45"/>
    </row>
    <row r="9" spans="1:8" x14ac:dyDescent="0.25">
      <c r="A9" s="44" t="s">
        <v>61</v>
      </c>
      <c r="B9" s="45"/>
      <c r="C9" s="45"/>
      <c r="D9" s="45"/>
      <c r="E9" s="45"/>
      <c r="F9" s="45"/>
      <c r="G9" s="45"/>
      <c r="H9" s="45"/>
    </row>
    <row r="10" spans="1:8" ht="30" x14ac:dyDescent="0.25">
      <c r="A10" s="22" t="s">
        <v>62</v>
      </c>
    </row>
    <row r="11" spans="1:8" x14ac:dyDescent="0.25">
      <c r="A11" s="42"/>
      <c r="B11" s="43"/>
      <c r="C11" s="43"/>
      <c r="D11" s="43"/>
      <c r="E11" s="43"/>
      <c r="F11" s="43"/>
      <c r="G11" s="43"/>
      <c r="H11" s="43"/>
    </row>
    <row r="12" spans="1:8" x14ac:dyDescent="0.25">
      <c r="A12" s="44" t="s">
        <v>63</v>
      </c>
      <c r="B12" s="45"/>
      <c r="C12" s="45"/>
      <c r="D12" s="45"/>
      <c r="E12" s="45"/>
      <c r="F12" s="45"/>
      <c r="G12" s="45"/>
      <c r="H12" s="45"/>
    </row>
    <row r="13" spans="1:8" x14ac:dyDescent="0.25">
      <c r="A13" s="44" t="s">
        <v>64</v>
      </c>
      <c r="B13" s="45"/>
      <c r="C13" s="45"/>
      <c r="D13" s="45"/>
      <c r="E13" s="45"/>
      <c r="F13" s="45"/>
      <c r="G13" s="45"/>
      <c r="H13" s="45"/>
    </row>
    <row r="14" spans="1:8" x14ac:dyDescent="0.25">
      <c r="A14" s="44"/>
      <c r="B14" s="45"/>
      <c r="C14" s="45"/>
      <c r="D14" s="45"/>
      <c r="E14" s="45"/>
      <c r="F14" s="45"/>
      <c r="G14" s="45"/>
      <c r="H14" s="45"/>
    </row>
    <row r="15" spans="1:8" x14ac:dyDescent="0.25">
      <c r="A15" s="44" t="s">
        <v>65</v>
      </c>
      <c r="B15" s="45"/>
      <c r="C15" s="45"/>
      <c r="D15" s="45"/>
      <c r="E15" s="45"/>
      <c r="F15" s="45"/>
      <c r="G15" s="45"/>
      <c r="H15" s="45"/>
    </row>
    <row r="16" spans="1:8" ht="30" x14ac:dyDescent="0.25">
      <c r="A16" s="22" t="s">
        <v>66</v>
      </c>
    </row>
    <row r="17" spans="1:8" x14ac:dyDescent="0.25">
      <c r="A17" s="46"/>
      <c r="B17" s="46"/>
      <c r="C17" s="46"/>
      <c r="D17" s="46"/>
      <c r="E17" s="46"/>
      <c r="F17" s="46"/>
      <c r="G17" s="46"/>
      <c r="H17" s="46"/>
    </row>
    <row r="18" spans="1:8" x14ac:dyDescent="0.25">
      <c r="A18" s="46"/>
      <c r="B18" s="46"/>
      <c r="C18" s="46"/>
      <c r="D18" s="46"/>
      <c r="E18" s="46"/>
      <c r="F18" s="46"/>
      <c r="G18" s="46"/>
      <c r="H18" s="46"/>
    </row>
    <row r="19" spans="1:8" x14ac:dyDescent="0.25">
      <c r="A19" s="46"/>
      <c r="B19" s="46"/>
      <c r="C19" s="46"/>
      <c r="D19" s="46"/>
      <c r="E19" s="46"/>
      <c r="F19" s="46"/>
      <c r="G19" s="46"/>
      <c r="H19" s="46"/>
    </row>
  </sheetData>
  <mergeCells count="8">
    <mergeCell ref="A11:H11"/>
    <mergeCell ref="A12:H15"/>
    <mergeCell ref="A17:H19"/>
    <mergeCell ref="A1:H1"/>
    <mergeCell ref="A3:H3"/>
    <mergeCell ref="A4:H5"/>
    <mergeCell ref="A7:H7"/>
    <mergeCell ref="A8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Configuração</vt:lpstr>
      <vt:lpstr>Classificação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Emanuel De S.S. Oliveira</cp:lastModifiedBy>
  <dcterms:modified xsi:type="dcterms:W3CDTF">2026-08-17T21:49:13Z</dcterms:modified>
</cp:coreProperties>
</file>